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SKU_Master" sheetId="3" state="visible" r:id="rId5"/>
    <sheet name="Demand_History" sheetId="4" state="visible" r:id="rId6"/>
    <sheet name="Forecast" sheetId="5" state="visible" r:id="rId7"/>
    <sheet name="Inventory_Policy" sheetId="6" state="visible" r:id="rId8"/>
    <sheet name="ABC_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<sst xmlns="http://schemas.openxmlformats.org/spreadsheetml/2006/main" count="150" uniqueCount="113">
  <si>
    <t xml:space="preserve">Supply Chain Planning Dashboard</t>
  </si>
  <si>
    <t xml:space="preserve">10-SKU electronics accessories distributor  |  Forecast, inventory policy and ABC analysis  |  synthetic data</t>
  </si>
  <si>
    <t xml:space="preserve">Trailing 12M demand (units)</t>
  </si>
  <si>
    <t xml:space="preserve">Annual consumption value ($)</t>
  </si>
  <si>
    <t xml:space="preserve">Avg forecast error (MAPE)</t>
  </si>
  <si>
    <t xml:space="preserve">SKUs to reorder now</t>
  </si>
  <si>
    <t xml:space="preserve">Safety stock value ($)</t>
  </si>
  <si>
    <t xml:space="preserve">Class A share of value</t>
  </si>
  <si>
    <t xml:space="preserve">Supply Chain Planning Model</t>
  </si>
  <si>
    <t xml:space="preserve">Demand forecasting, inventory policy (safety stock, reorder point, EOQ) and ABC analysis for a 10-SKU electronics accessories distributor.</t>
  </si>
  <si>
    <t xml:space="preserve">Parameter</t>
  </si>
  <si>
    <t xml:space="preserve">Value</t>
  </si>
  <si>
    <t xml:space="preserve">Notes</t>
  </si>
  <si>
    <t xml:space="preserve">Target service level</t>
  </si>
  <si>
    <t xml:space="preserve">Probability of not stocking out during lead time (input)</t>
  </si>
  <si>
    <t xml:space="preserve">Z-score (service factor)</t>
  </si>
  <si>
    <t xml:space="preserve">Calculated from service level</t>
  </si>
  <si>
    <t xml:space="preserve">Ordering cost per order ($)</t>
  </si>
  <si>
    <t xml:space="preserve">Assumed: admin + freight + receiving per PO</t>
  </si>
  <si>
    <t xml:space="preserve">Annual holding cost rate</t>
  </si>
  <si>
    <t xml:space="preserve">Assumed: 20% of unit cost per year (capital, storage, shrinkage)</t>
  </si>
  <si>
    <t xml:space="preserve">Days per month</t>
  </si>
  <si>
    <t xml:space="preserve">Used to convert monthly forecast error to daily</t>
  </si>
  <si>
    <t xml:space="preserve">Days per year</t>
  </si>
  <si>
    <t xml:space="preserve">Used to convert annual demand to daily</t>
  </si>
  <si>
    <t xml:space="preserve">How to use this workbook</t>
  </si>
  <si>
    <t xml:space="preserve">Blue font = input / hard-coded data you can change.  Black = formula.  Green = link to another sheet.  Yellow fill = key assumptions to play with.</t>
  </si>
  <si>
    <t xml:space="preserve">Change the service level (B5), ordering cost (B7) or holding rate (B8) and every sheet, chart and the Dashboard recalculates.</t>
  </si>
  <si>
    <t xml:space="preserve">SKU_Master: product data (cost, lead time, current stock).   Demand_History: 24 months of monthly demand (Oct-2024 to Sep-2026).</t>
  </si>
  <si>
    <t xml:space="preserve">Forecast: 3-month moving-average forecast with accuracy (MAPE, RMSE).   Inventory_Policy: safety stock, reorder point, EOQ, reorder alerts.</t>
  </si>
  <si>
    <t xml:space="preserve">ABC_Analysis: Pareto classification by annual consumption value.   Dashboard: KPIs and charts.</t>
  </si>
  <si>
    <t xml:space="preserve">Data disclaimer</t>
  </si>
  <si>
    <t xml:space="preserve">All demand, cost and lead-time data is SYNTHETIC (generated for this learning project with trend, seasonality and random noise). It is not real company data.</t>
  </si>
  <si>
    <t xml:space="preserve">Method summary</t>
  </si>
  <si>
    <t xml:space="preserve">Forecast(t) = average of the previous 3 months of actual demand.</t>
  </si>
  <si>
    <t xml:space="preserve">Safety stock = Z x SQRT( LeadTime x sigma_daily^2 + DailyDemand^2 x sigma_leadtime^2 ), sigma_daily from monthly forecast error (RMSE).</t>
  </si>
  <si>
    <t xml:space="preserve">Reorder point (ROP) = DailyDemand x LeadTime + Safety stock.</t>
  </si>
  <si>
    <t xml:space="preserve">EOQ = SQRT( 2 x AnnualDemand x OrderingCost / (HoldingRate x UnitCost) ).</t>
  </si>
  <si>
    <t xml:space="preserve">Order policy: when stock &lt;= ROP, order up to (ROP + EOQ).   ABC: A = first 80% of value, B = next 15%, C = last 5%.</t>
  </si>
  <si>
    <t xml:space="preserve">SKU ID</t>
  </si>
  <si>
    <t xml:space="preserve">Product</t>
  </si>
  <si>
    <t xml:space="preserve">Category</t>
  </si>
  <si>
    <t xml:space="preserve">Unit cost ($)</t>
  </si>
  <si>
    <t xml:space="preserve">Lead time (days)</t>
  </si>
  <si>
    <t xml:space="preserve">Lead time std dev (days)</t>
  </si>
  <si>
    <t xml:space="preserve">Current stock (units)</t>
  </si>
  <si>
    <t xml:space="preserve">Source: synthetic data created for this project (see Assumptions sheet).</t>
  </si>
  <si>
    <t xml:space="preserve">SKU01</t>
  </si>
  <si>
    <t xml:space="preserve">USB-C Cable 1m</t>
  </si>
  <si>
    <t xml:space="preserve">Accessories</t>
  </si>
  <si>
    <t xml:space="preserve">SKU02</t>
  </si>
  <si>
    <t xml:space="preserve">Wireless Earbuds</t>
  </si>
  <si>
    <t xml:space="preserve">Audio</t>
  </si>
  <si>
    <t xml:space="preserve">SKU03</t>
  </si>
  <si>
    <t xml:space="preserve">Phone Charger 20W</t>
  </si>
  <si>
    <t xml:space="preserve">Power</t>
  </si>
  <si>
    <t xml:space="preserve">SKU04</t>
  </si>
  <si>
    <t xml:space="preserve">Power Bank 10000mAh</t>
  </si>
  <si>
    <t xml:space="preserve">SKU05</t>
  </si>
  <si>
    <t xml:space="preserve">Bluetooth Speaker</t>
  </si>
  <si>
    <t xml:space="preserve">SKU06</t>
  </si>
  <si>
    <t xml:space="preserve">Smartwatch</t>
  </si>
  <si>
    <t xml:space="preserve">Wearables</t>
  </si>
  <si>
    <t xml:space="preserve">SKU07</t>
  </si>
  <si>
    <t xml:space="preserve">Laptop Stand</t>
  </si>
  <si>
    <t xml:space="preserve">SKU08</t>
  </si>
  <si>
    <t xml:space="preserve">HD Webcam</t>
  </si>
  <si>
    <t xml:space="preserve">Computing</t>
  </si>
  <si>
    <t xml:space="preserve">SKU09</t>
  </si>
  <si>
    <t xml:space="preserve">Mechanical Keyboard</t>
  </si>
  <si>
    <t xml:space="preserve">SKU10</t>
  </si>
  <si>
    <t xml:space="preserve">Wireless Mouse</t>
  </si>
  <si>
    <t xml:space="preserve">Month</t>
  </si>
  <si>
    <t xml:space="preserve">Total</t>
  </si>
  <si>
    <t xml:space="preserve">Units sold per month. Synthetic data.</t>
  </si>
  <si>
    <t xml:space="preserve">Total forecast</t>
  </si>
  <si>
    <t xml:space="preserve">Total actual</t>
  </si>
  <si>
    <t xml:space="preserve">Oct-26 (forecast)</t>
  </si>
  <si>
    <t xml:space="preserve">MAPE</t>
  </si>
  <si>
    <t xml:space="preserve">RMSE (units)</t>
  </si>
  <si>
    <t xml:space="preserve">Forecast = average of previous 3 months. MAPE = mean absolute % error; RMSE = root mean squared error (its monthly value feeds safety stock). Accuracy measured on months 4-24.</t>
  </si>
  <si>
    <t xml:space="preserve">Inventory policy: safety stock, reorder point and EOQ</t>
  </si>
  <si>
    <t xml:space="preserve">Service level, ordering cost and holding rate come from the Assumptions sheet.</t>
  </si>
  <si>
    <t xml:space="preserve">SKU</t>
  </si>
  <si>
    <t xml:space="preserve">Next-month forecast</t>
  </si>
  <si>
    <t xml:space="preserve">Forecast error sigma (units/month)</t>
  </si>
  <si>
    <t xml:space="preserve">Daily demand</t>
  </si>
  <si>
    <t xml:space="preserve">Daily sigma</t>
  </si>
  <si>
    <t xml:space="preserve">Lead time sigma (days)</t>
  </si>
  <si>
    <t xml:space="preserve">Safety stock</t>
  </si>
  <si>
    <t xml:space="preserve">Reorder point (ROP)</t>
  </si>
  <si>
    <t xml:space="preserve">EOQ</t>
  </si>
  <si>
    <t xml:space="preserve">Orders per year</t>
  </si>
  <si>
    <t xml:space="preserve">Current stock</t>
  </si>
  <si>
    <t xml:space="preserve">Status</t>
  </si>
  <si>
    <t xml:space="preserve">Suggested order qty</t>
  </si>
  <si>
    <t xml:space="preserve">Value rank</t>
  </si>
  <si>
    <t xml:space="preserve">ABC class</t>
  </si>
  <si>
    <t xml:space="preserve">Order policy: when current stock &lt;= ROP, order up to (ROP + EOQ). Trailing 12M demand = last 12 months of Demand_History.</t>
  </si>
  <si>
    <t xml:space="preserve">ABC analysis: Pareto of annual consumption value</t>
  </si>
  <si>
    <t xml:space="preserve">SKUs are re-sorted automatically by annual value. A = first 80% of value, B = next 15%, C = last 5%.</t>
  </si>
  <si>
    <t xml:space="preserve">Rank</t>
  </si>
  <si>
    <t xml:space="preserve">Annual value ($)</t>
  </si>
  <si>
    <t xml:space="preserve">% of total</t>
  </si>
  <si>
    <t xml:space="preserve">Cumulative %</t>
  </si>
  <si>
    <t xml:space="preserve">Class</t>
  </si>
  <si>
    <t xml:space="preserve">Summary by class</t>
  </si>
  <si>
    <t xml:space="preserve"># SKUs</t>
  </si>
  <si>
    <t xml:space="preserve">% of SKUs</t>
  </si>
  <si>
    <t xml:space="preserve">% of value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</si>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</sst>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"/>
    <numFmt numFmtId="167" formatCode="0.0%"/>
    <numFmt numFmtId="168" formatCode="0"/>
    <numFmt numFmtId="169" formatCode="0%"/>
    <numFmt numFmtId="170" formatCode="0.000"/>
    <numFmt numFmtId="171" formatCode="\$#,##0.00"/>
    <numFmt numFmtId="172" formatCode="mmm\-yy"/>
    <numFmt numFmtId="173" formatCode="#,##0.0"/>
    <numFmt numFmtId="174" formatCode="0.0"/>
    <numFmt numFmtId="17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3C4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0B3C4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B3C4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0B3C49"/>
        <bgColor rgb="FF00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C7293"/>
      <rgbColor rgb="FFBFBFBF"/>
      <rgbColor rgb="FF878787"/>
      <rgbColor rgb="FF9999FF"/>
      <rgbColor rgb="FF993366"/>
      <rgbColor rgb="FFFFFFCC"/>
      <rgbColor rgb="FFE8F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28C28"/>
      <rgbColor rgb="FFFF6600"/>
      <rgbColor rgb="FF595959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demand: actual vs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Forecast!M1</c:f>
              <c:strCache>
                <c:ptCount val="1"/>
                <c:pt idx="0">
                  <c:v>Total actual</c:v>
                </c:pt>
              </c:strCache>
            </c:strRef>
          </c:tx>
          <c:spPr>
            <a:solidFill>
              <a:srgbClr val="0b3c49"/>
            </a:solidFill>
            <a:ln w="28440">
              <a:solidFill>
                <a:srgbClr val="0b3c4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Forecast!$A$2:$A$26</c:f>
              <c:strCache>
                <c:ptCount val="25"/>
                <c:pt idx="0">
                  <c:v>Oct-24</c:v>
                </c:pt>
                <c:pt idx="1">
                  <c:v>Nov-24</c:v>
                </c:pt>
                <c:pt idx="2">
                  <c:v>Dec-24</c:v>
                </c:pt>
                <c:pt idx="3">
                  <c:v>Jan-25</c:v>
                </c:pt>
                <c:pt idx="4">
                  <c:v>Feb-25</c:v>
                </c:pt>
                <c:pt idx="5">
                  <c:v>Mar-25</c:v>
                </c:pt>
                <c:pt idx="6">
                  <c:v>Apr-25</c:v>
                </c:pt>
                <c:pt idx="7">
                  <c:v>May-25</c:v>
                </c:pt>
                <c:pt idx="8">
                  <c:v>Jun-25</c:v>
                </c:pt>
                <c:pt idx="9">
                  <c:v>Jul-25</c:v>
                </c:pt>
                <c:pt idx="10">
                  <c:v>Aug-25</c:v>
                </c:pt>
                <c:pt idx="11">
                  <c:v>Sep-25</c:v>
                </c:pt>
                <c:pt idx="12">
                  <c:v>Oct-25</c:v>
                </c:pt>
                <c:pt idx="13">
                  <c:v>Nov-25</c:v>
                </c:pt>
                <c:pt idx="14">
                  <c:v>Dec-25</c:v>
                </c:pt>
                <c:pt idx="15">
                  <c:v>Jan-26</c:v>
                </c:pt>
                <c:pt idx="16">
                  <c:v>Feb-26</c:v>
                </c:pt>
                <c:pt idx="17">
                  <c:v>Mar-26</c:v>
                </c:pt>
                <c:pt idx="18">
                  <c:v>Apr-26</c:v>
                </c:pt>
                <c:pt idx="19">
                  <c:v>May-26</c:v>
                </c:pt>
                <c:pt idx="20">
                  <c:v>Jun-26</c:v>
                </c:pt>
                <c:pt idx="21">
                  <c:v>Jul-26</c:v>
                </c:pt>
                <c:pt idx="22">
                  <c:v>Aug-26</c:v>
                </c:pt>
                <c:pt idx="23">
                  <c:v>Sep-26</c:v>
                </c:pt>
                <c:pt idx="24">
                  <c:v>Oct-26 (forecast)</c:v>
                </c:pt>
              </c:strCache>
            </c:strRef>
          </c:cat>
          <c:val>
            <c:numRef>
              <c:f>Forecast!$M$2:$M$26</c:f>
              <c:numCache>
                <c:formatCode>#,##0</c:formatCode>
                <c:ptCount val="25"/>
                <c:pt idx="0">
                  <c:v>6218</c:v>
                </c:pt>
                <c:pt idx="1">
                  <c:v>7640</c:v>
                </c:pt>
                <c:pt idx="2">
                  <c:v>8766</c:v>
                </c:pt>
                <c:pt idx="3">
                  <c:v>5904</c:v>
                </c:pt>
                <c:pt idx="4">
                  <c:v>5063</c:v>
                </c:pt>
                <c:pt idx="5">
                  <c:v>5768</c:v>
                </c:pt>
                <c:pt idx="6">
                  <c:v>6464</c:v>
                </c:pt>
                <c:pt idx="7">
                  <c:v>5926</c:v>
                </c:pt>
                <c:pt idx="8">
                  <c:v>6084</c:v>
                </c:pt>
                <c:pt idx="9">
                  <c:v>6116</c:v>
                </c:pt>
                <c:pt idx="10">
                  <c:v>6816</c:v>
                </c:pt>
                <c:pt idx="11">
                  <c:v>7418</c:v>
                </c:pt>
                <c:pt idx="12">
                  <c:v>6779</c:v>
                </c:pt>
                <c:pt idx="13">
                  <c:v>8738</c:v>
                </c:pt>
                <c:pt idx="14">
                  <c:v>9044</c:v>
                </c:pt>
                <c:pt idx="15">
                  <c:v>6084</c:v>
                </c:pt>
                <c:pt idx="16">
                  <c:v>6498</c:v>
                </c:pt>
                <c:pt idx="17">
                  <c:v>6710</c:v>
                </c:pt>
                <c:pt idx="18">
                  <c:v>7253</c:v>
                </c:pt>
                <c:pt idx="19">
                  <c:v>7096</c:v>
                </c:pt>
                <c:pt idx="20">
                  <c:v>6969</c:v>
                </c:pt>
                <c:pt idx="21">
                  <c:v>6765</c:v>
                </c:pt>
                <c:pt idx="22">
                  <c:v>7360</c:v>
                </c:pt>
                <c:pt idx="23">
                  <c:v>7347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Forecast!L1</c:f>
              <c:strCache>
                <c:ptCount val="1"/>
                <c:pt idx="0">
                  <c:v>Total forecast</c:v>
                </c:pt>
              </c:strCache>
            </c:strRef>
          </c:tx>
          <c:spPr>
            <a:solidFill>
              <a:srgbClr val="f28c28"/>
            </a:solidFill>
            <a:ln w="28440">
              <a:solidFill>
                <a:srgbClr val="f28c2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Forecast!$A$2:$A$26</c:f>
              <c:strCache>
                <c:ptCount val="25"/>
                <c:pt idx="0">
                  <c:v>Oct-24</c:v>
                </c:pt>
                <c:pt idx="1">
                  <c:v>Nov-24</c:v>
                </c:pt>
                <c:pt idx="2">
                  <c:v>Dec-24</c:v>
                </c:pt>
                <c:pt idx="3">
                  <c:v>Jan-25</c:v>
                </c:pt>
                <c:pt idx="4">
                  <c:v>Feb-25</c:v>
                </c:pt>
                <c:pt idx="5">
                  <c:v>Mar-25</c:v>
                </c:pt>
                <c:pt idx="6">
                  <c:v>Apr-25</c:v>
                </c:pt>
                <c:pt idx="7">
                  <c:v>May-25</c:v>
                </c:pt>
                <c:pt idx="8">
                  <c:v>Jun-25</c:v>
                </c:pt>
                <c:pt idx="9">
                  <c:v>Jul-25</c:v>
                </c:pt>
                <c:pt idx="10">
                  <c:v>Aug-25</c:v>
                </c:pt>
                <c:pt idx="11">
                  <c:v>Sep-25</c:v>
                </c:pt>
                <c:pt idx="12">
                  <c:v>Oct-25</c:v>
                </c:pt>
                <c:pt idx="13">
                  <c:v>Nov-25</c:v>
                </c:pt>
                <c:pt idx="14">
                  <c:v>Dec-25</c:v>
                </c:pt>
                <c:pt idx="15">
                  <c:v>Jan-26</c:v>
                </c:pt>
                <c:pt idx="16">
                  <c:v>Feb-26</c:v>
                </c:pt>
                <c:pt idx="17">
                  <c:v>Mar-26</c:v>
                </c:pt>
                <c:pt idx="18">
                  <c:v>Apr-26</c:v>
                </c:pt>
                <c:pt idx="19">
                  <c:v>May-26</c:v>
                </c:pt>
                <c:pt idx="20">
                  <c:v>Jun-26</c:v>
                </c:pt>
                <c:pt idx="21">
                  <c:v>Jul-26</c:v>
                </c:pt>
                <c:pt idx="22">
                  <c:v>Aug-26</c:v>
                </c:pt>
                <c:pt idx="23">
                  <c:v>Sep-26</c:v>
                </c:pt>
                <c:pt idx="24">
                  <c:v>Oct-26 (forecast)</c:v>
                </c:pt>
              </c:strCache>
            </c:strRef>
          </c:cat>
          <c:val>
            <c:numRef>
              <c:f>Forecast!$L$2:$L$26</c:f>
              <c:numCache>
                <c:formatCode>#,##0</c:formatCode>
                <c:ptCount val="25"/>
                <c:pt idx="3">
                  <c:v>7541.33333333333</c:v>
                </c:pt>
                <c:pt idx="4">
                  <c:v>7436.66666666667</c:v>
                </c:pt>
                <c:pt idx="5">
                  <c:v>6577.66666666667</c:v>
                </c:pt>
                <c:pt idx="6">
                  <c:v>5578.33333333333</c:v>
                </c:pt>
                <c:pt idx="7">
                  <c:v>5765</c:v>
                </c:pt>
                <c:pt idx="8">
                  <c:v>6052.66666666667</c:v>
                </c:pt>
                <c:pt idx="9">
                  <c:v>6158</c:v>
                </c:pt>
                <c:pt idx="10">
                  <c:v>6042</c:v>
                </c:pt>
                <c:pt idx="11">
                  <c:v>6338.66666666667</c:v>
                </c:pt>
                <c:pt idx="12">
                  <c:v>6783.33333333333</c:v>
                </c:pt>
                <c:pt idx="13">
                  <c:v>7004.33333333333</c:v>
                </c:pt>
                <c:pt idx="14">
                  <c:v>7645</c:v>
                </c:pt>
                <c:pt idx="15">
                  <c:v>8187</c:v>
                </c:pt>
                <c:pt idx="16">
                  <c:v>7955.33333333333</c:v>
                </c:pt>
                <c:pt idx="17">
                  <c:v>7208.66666666667</c:v>
                </c:pt>
                <c:pt idx="18">
                  <c:v>6430.66666666667</c:v>
                </c:pt>
                <c:pt idx="19">
                  <c:v>6820.33333333333</c:v>
                </c:pt>
                <c:pt idx="20">
                  <c:v>7019.66666666667</c:v>
                </c:pt>
                <c:pt idx="21">
                  <c:v>7106</c:v>
                </c:pt>
                <c:pt idx="22">
                  <c:v>6943.33333333333</c:v>
                </c:pt>
                <c:pt idx="23">
                  <c:v>7031.33333333333</c:v>
                </c:pt>
                <c:pt idx="24">
                  <c:v>7157.33333333333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929223"/>
        <c:axId val="85792417"/>
      </c:lineChart>
      <c:catAx>
        <c:axId val="8992922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92417"/>
        <c:crosses val="autoZero"/>
        <c:auto val="1"/>
        <c:lblAlgn val="ctr"/>
        <c:lblOffset val="100"/>
        <c:noMultiLvlLbl val="0"/>
      </c:catAx>
      <c:valAx>
        <c:axId val="85792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292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stock vs reorder point (units)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Inventory_Policy!P4</c:f>
              <c:strCache>
                <c:ptCount val="1"/>
                <c:pt idx="0">
                  <c:v>Current stock</c:v>
                </c:pt>
              </c:strCache>
            </c:strRef>
          </c:tx>
          <c:spPr>
            <a:solidFill>
              <a:srgbClr val="0b3c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Inventory_Policy!$A$5:$A$14</c:f>
              <c:strCache>
                <c:ptCount val="10"/>
                <c:pt idx="0">
                  <c:v>SKU01</c:v>
                </c:pt>
                <c:pt idx="1">
                  <c:v>SKU02</c:v>
                </c:pt>
                <c:pt idx="2">
                  <c:v>SKU03</c:v>
                </c:pt>
                <c:pt idx="3">
                  <c:v>SKU04</c:v>
                </c:pt>
                <c:pt idx="4">
                  <c:v>SKU05</c:v>
                </c:pt>
                <c:pt idx="5">
                  <c:v>SKU06</c:v>
                </c:pt>
                <c:pt idx="6">
                  <c:v>SKU07</c:v>
                </c:pt>
                <c:pt idx="7">
                  <c:v>SKU08</c:v>
                </c:pt>
                <c:pt idx="8">
                  <c:v>SKU09</c:v>
                </c:pt>
                <c:pt idx="9">
                  <c:v>SKU10</c:v>
                </c:pt>
              </c:strCache>
            </c:strRef>
          </c:cat>
          <c:val>
            <c:numRef>
              <c:f>Inventory_Policy!$P$5:$P$14</c:f>
              <c:numCache>
                <c:formatCode>#,##0</c:formatCode>
                <c:ptCount val="10"/>
                <c:pt idx="0">
                  <c:v>1340</c:v>
                </c:pt>
                <c:pt idx="1">
                  <c:v>1122</c:v>
                </c:pt>
                <c:pt idx="2">
                  <c:v>1205</c:v>
                </c:pt>
                <c:pt idx="3">
                  <c:v>813</c:v>
                </c:pt>
                <c:pt idx="4">
                  <c:v>773</c:v>
                </c:pt>
                <c:pt idx="5">
                  <c:v>638</c:v>
                </c:pt>
                <c:pt idx="6">
                  <c:v>191</c:v>
                </c:pt>
                <c:pt idx="7">
                  <c:v>252</c:v>
                </c:pt>
                <c:pt idx="8">
                  <c:v>635</c:v>
                </c:pt>
                <c:pt idx="9">
                  <c:v>391</c:v>
                </c:pt>
              </c:numCache>
            </c:numRef>
          </c:val>
        </c:ser>
        <c:ser>
          <c:idx val="1"/>
          <c:order val="1"/>
          <c:tx>
            <c:strRef>
              <c:f>Inventory_Policy!M4</c:f>
              <c:strCache>
                <c:ptCount val="1"/>
                <c:pt idx="0">
                  <c:v>Reorder point (ROP)</c:v>
                </c:pt>
              </c:strCache>
            </c:strRef>
          </c:tx>
          <c:spPr>
            <a:solidFill>
              <a:srgbClr val="f28c2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Inventory_Policy!$A$5:$A$14</c:f>
              <c:strCache>
                <c:ptCount val="10"/>
                <c:pt idx="0">
                  <c:v>SKU01</c:v>
                </c:pt>
                <c:pt idx="1">
                  <c:v>SKU02</c:v>
                </c:pt>
                <c:pt idx="2">
                  <c:v>SKU03</c:v>
                </c:pt>
                <c:pt idx="3">
                  <c:v>SKU04</c:v>
                </c:pt>
                <c:pt idx="4">
                  <c:v>SKU05</c:v>
                </c:pt>
                <c:pt idx="5">
                  <c:v>SKU06</c:v>
                </c:pt>
                <c:pt idx="6">
                  <c:v>SKU07</c:v>
                </c:pt>
                <c:pt idx="7">
                  <c:v>SKU08</c:v>
                </c:pt>
                <c:pt idx="8">
                  <c:v>SKU09</c:v>
                </c:pt>
                <c:pt idx="9">
                  <c:v>SKU10</c:v>
                </c:pt>
              </c:strCache>
            </c:strRef>
          </c:cat>
          <c:val>
            <c:numRef>
              <c:f>Inventory_Policy!$M$5:$M$14</c:f>
              <c:numCache>
                <c:formatCode>#,##0</c:formatCode>
                <c:ptCount val="10"/>
                <c:pt idx="0">
                  <c:v>1645</c:v>
                </c:pt>
                <c:pt idx="1">
                  <c:v>1183</c:v>
                </c:pt>
                <c:pt idx="2">
                  <c:v>1080</c:v>
                </c:pt>
                <c:pt idx="3">
                  <c:v>602</c:v>
                </c:pt>
                <c:pt idx="4">
                  <c:v>818</c:v>
                </c:pt>
                <c:pt idx="5">
                  <c:v>887</c:v>
                </c:pt>
                <c:pt idx="6">
                  <c:v>276</c:v>
                </c:pt>
                <c:pt idx="7">
                  <c:v>208</c:v>
                </c:pt>
                <c:pt idx="8">
                  <c:v>495</c:v>
                </c:pt>
                <c:pt idx="9">
                  <c:v>666</c:v>
                </c:pt>
              </c:numCache>
            </c:numRef>
          </c:val>
        </c:ser>
        <c:gapWidth val="150"/>
        <c:overlap val="0"/>
        <c:axId val="38323111"/>
        <c:axId val="32524358"/>
      </c:barChart>
      <c:catAx>
        <c:axId val="38323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24358"/>
        <c:crosses val="autoZero"/>
        <c:auto val="1"/>
        <c:lblAlgn val="ctr"/>
        <c:lblOffset val="100"/>
        <c:noMultiLvlLbl val="0"/>
      </c:catAx>
      <c:valAx>
        <c:axId val="32524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231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value by SKU (Pareto order)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ABC_Analysis!D4</c:f>
              <c:strCache>
                <c:ptCount val="1"/>
                <c:pt idx="0">
                  <c:v>Annual value ($)</c:v>
                </c:pt>
              </c:strCache>
            </c:strRef>
          </c:tx>
          <c:spPr>
            <a:solidFill>
              <a:srgbClr val="1c72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ABC_Analysis!$B$5:$B$14</c:f>
              <c:strCache>
                <c:ptCount val="10"/>
                <c:pt idx="0">
                  <c:v>SKU06</c:v>
                </c:pt>
                <c:pt idx="1">
                  <c:v>SKU02</c:v>
                </c:pt>
                <c:pt idx="2">
                  <c:v>SKU05</c:v>
                </c:pt>
                <c:pt idx="3">
                  <c:v>SKU09</c:v>
                </c:pt>
                <c:pt idx="4">
                  <c:v>SKU04</c:v>
                </c:pt>
                <c:pt idx="5">
                  <c:v>SKU03</c:v>
                </c:pt>
                <c:pt idx="6">
                  <c:v>SKU10</c:v>
                </c:pt>
                <c:pt idx="7">
                  <c:v>SKU01</c:v>
                </c:pt>
                <c:pt idx="8">
                  <c:v>SKU08</c:v>
                </c:pt>
                <c:pt idx="9">
                  <c:v>SKU07</c:v>
                </c:pt>
              </c:strCache>
            </c:strRef>
          </c:cat>
          <c:val>
            <c:numRef>
              <c:f>ABC_Analysis!$D$5:$D$14</c:f>
              <c:numCache>
                <c:formatCode>\$#,##0</c:formatCode>
                <c:ptCount val="10"/>
                <c:pt idx="0">
                  <c:v>290565</c:v>
                </c:pt>
                <c:pt idx="1">
                  <c:v>188676</c:v>
                </c:pt>
                <c:pt idx="2">
                  <c:v>145750</c:v>
                </c:pt>
                <c:pt idx="3">
                  <c:v>90046</c:v>
                </c:pt>
                <c:pt idx="4">
                  <c:v>84900</c:v>
                </c:pt>
                <c:pt idx="5">
                  <c:v>51832</c:v>
                </c:pt>
                <c:pt idx="6">
                  <c:v>40435</c:v>
                </c:pt>
                <c:pt idx="7">
                  <c:v>32638.8</c:v>
                </c:pt>
                <c:pt idx="8">
                  <c:v>22764</c:v>
                </c:pt>
                <c:pt idx="9">
                  <c:v>18695</c:v>
                </c:pt>
              </c:numCache>
            </c:numRef>
          </c:val>
        </c:ser>
        <c:gapWidth val="150"/>
        <c:overlap val="0"/>
        <c:axId val="28980748"/>
        <c:axId val="45037875"/>
      </c:barChart>
      <c:catAx>
        <c:axId val="289807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37875"/>
        <c:crosses val="autoZero"/>
        <c:auto val="1"/>
        <c:lblAlgn val="ctr"/>
        <c:lblOffset val="100"/>
        <c:noMultiLvlLbl val="0"/>
      </c:catAx>
      <c:valAx>
        <c:axId val="45037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80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Safety stock by SKU (units)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Inventory_Policy!L4</c:f>
              <c:strCache>
                <c:ptCount val="1"/>
                <c:pt idx="0">
                  <c:v>Safety stock</c:v>
                </c:pt>
              </c:strCache>
            </c:strRef>
          </c:tx>
          <c:spPr>
            <a:solidFill>
              <a:srgbClr val="f28c2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Inventory_Policy!$A$5:$A$14</c:f>
              <c:strCache>
                <c:ptCount val="10"/>
                <c:pt idx="0">
                  <c:v>SKU01</c:v>
                </c:pt>
                <c:pt idx="1">
                  <c:v>SKU02</c:v>
                </c:pt>
                <c:pt idx="2">
                  <c:v>SKU03</c:v>
                </c:pt>
                <c:pt idx="3">
                  <c:v>SKU04</c:v>
                </c:pt>
                <c:pt idx="4">
                  <c:v>SKU05</c:v>
                </c:pt>
                <c:pt idx="5">
                  <c:v>SKU06</c:v>
                </c:pt>
                <c:pt idx="6">
                  <c:v>SKU07</c:v>
                </c:pt>
                <c:pt idx="7">
                  <c:v>SKU08</c:v>
                </c:pt>
                <c:pt idx="8">
                  <c:v>SKU09</c:v>
                </c:pt>
                <c:pt idx="9">
                  <c:v>SKU10</c:v>
                </c:pt>
              </c:strCache>
            </c:strRef>
          </c:cat>
          <c:val>
            <c:numRef>
              <c:f>Inventory_Policy!$L$5:$L$14</c:f>
              <c:numCache>
                <c:formatCode>#,##0</c:formatCode>
                <c:ptCount val="10"/>
                <c:pt idx="0">
                  <c:v>601</c:v>
                </c:pt>
                <c:pt idx="1">
                  <c:v>321</c:v>
                </c:pt>
                <c:pt idx="2">
                  <c:v>334</c:v>
                </c:pt>
                <c:pt idx="3">
                  <c:v>194</c:v>
                </c:pt>
                <c:pt idx="4">
                  <c:v>258</c:v>
                </c:pt>
                <c:pt idx="5">
                  <c:v>308</c:v>
                </c:pt>
                <c:pt idx="6">
                  <c:v>91</c:v>
                </c:pt>
                <c:pt idx="7">
                  <c:v>62</c:v>
                </c:pt>
                <c:pt idx="8">
                  <c:v>158</c:v>
                </c:pt>
                <c:pt idx="9">
                  <c:v>222</c:v>
                </c:pt>
              </c:numCache>
            </c:numRef>
          </c:val>
        </c:ser>
        <c:gapWidth val="150"/>
        <c:overlap val="0"/>
        <c:axId val="91460163"/>
        <c:axId val="2172162"/>
      </c:barChart>
      <c:catAx>
        <c:axId val="91460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2162"/>
        <c:crosses val="autoZero"/>
        <c:auto val="1"/>
        <c:lblAlgn val="ctr"/>
        <c:lblOffset val="100"/>
        <c:noMultiLvlLbl val="0"/>
      </c:catAx>
      <c:valAx>
        <c:axId val="2172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601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70560</xdr:rowOff>
    </xdr:from>
    <xdr:to>
      <xdr:col>5</xdr:col>
      <xdr:colOff>594360</xdr:colOff>
      <xdr:row>20</xdr:row>
      <xdr:rowOff>92880</xdr:rowOff>
    </xdr:to>
    <xdr:graphicFrame>
      <xdr:nvGraphicFramePr>
        <xdr:cNvPr id="0" name="Chart 1"/>
        <xdr:cNvGraphicFramePr/>
      </xdr:nvGraphicFramePr>
      <xdr:xfrm>
        <a:off x="0" y="1571760"/>
        <a:ext cx="4823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</xdr:row>
      <xdr:rowOff>70560</xdr:rowOff>
    </xdr:from>
    <xdr:to>
      <xdr:col>11</xdr:col>
      <xdr:colOff>594360</xdr:colOff>
      <xdr:row>20</xdr:row>
      <xdr:rowOff>92880</xdr:rowOff>
    </xdr:to>
    <xdr:graphicFrame>
      <xdr:nvGraphicFramePr>
        <xdr:cNvPr id="1" name="Chart 2"/>
        <xdr:cNvGraphicFramePr/>
      </xdr:nvGraphicFramePr>
      <xdr:xfrm>
        <a:off x="5074920" y="1571760"/>
        <a:ext cx="4823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70560</xdr:rowOff>
    </xdr:from>
    <xdr:to>
      <xdr:col>5</xdr:col>
      <xdr:colOff>594360</xdr:colOff>
      <xdr:row>38</xdr:row>
      <xdr:rowOff>92880</xdr:rowOff>
    </xdr:to>
    <xdr:graphicFrame>
      <xdr:nvGraphicFramePr>
        <xdr:cNvPr id="2" name="Chart 3"/>
        <xdr:cNvGraphicFramePr/>
      </xdr:nvGraphicFramePr>
      <xdr:xfrm>
        <a:off x="0" y="5000760"/>
        <a:ext cx="4823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23</xdr:row>
      <xdr:rowOff>70560</xdr:rowOff>
    </xdr:from>
    <xdr:to>
      <xdr:col>11</xdr:col>
      <xdr:colOff>594360</xdr:colOff>
      <xdr:row>38</xdr:row>
      <xdr:rowOff>92880</xdr:rowOff>
    </xdr:to>
    <xdr:graphicFrame>
      <xdr:nvGraphicFramePr>
        <xdr:cNvPr id="3" name="Chart 4"/>
        <xdr:cNvGraphicFramePr/>
      </xdr:nvGraphicFramePr>
      <xdr:xfrm>
        <a:off x="5074920" y="5000760"/>
        <a:ext cx="4823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2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customFormat="false" ht="36" hidden="false" customHeight="true" outlineLevel="0" collapsed="false">
      <c r="A5" s="4" t="n">
        <f aca="false">Inventory_Policy!E15</f>
        <v>86643</v>
      </c>
      <c r="B5" s="4"/>
      <c r="C5" s="5" t="n">
        <f aca="false">Inventory_Policy!S15</f>
        <v>966301.8</v>
      </c>
      <c r="D5" s="5"/>
      <c r="E5" s="6" t="n">
        <f aca="false">AVERAGE(Forecast!B28:K28)</f>
        <v>0.193195371212103</v>
      </c>
      <c r="F5" s="6"/>
      <c r="G5" s="7" t="n">
        <f aca="false">COUNTIF(Inventory_Policy!Q5:Q14,"REORDER NOW")</f>
        <v>6</v>
      </c>
      <c r="H5" s="7"/>
      <c r="I5" s="5" t="n">
        <f aca="false">SUMPRODUCT(Inventory_Policy!L5:L14,Inventory_Policy!D5:D14)</f>
        <v>39338.2</v>
      </c>
      <c r="J5" s="5"/>
      <c r="K5" s="8" t="n">
        <f aca="false">ABC_Analysis!E19</f>
        <v>0.827833498809585</v>
      </c>
      <c r="L5" s="8"/>
    </row>
  </sheetData>
  <mergeCells count="1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78"/>
  </cols>
  <sheetData>
    <row r="1" customFormat="false" ht="19.7" hidden="false" customHeight="false" outlineLevel="0" collapsed="false">
      <c r="A1" s="9" t="s">
        <v>8</v>
      </c>
    </row>
    <row r="2" customFormat="false" ht="15" hidden="false" customHeight="false" outlineLevel="0" collapsed="false">
      <c r="A2" s="2" t="s">
        <v>9</v>
      </c>
    </row>
    <row r="4" customFormat="false" ht="31.5" hidden="false" customHeight="true" outlineLevel="0" collapsed="false">
      <c r="A4" s="10" t="s">
        <v>10</v>
      </c>
      <c r="B4" s="10" t="s">
        <v>11</v>
      </c>
      <c r="C4" s="10" t="s">
        <v>12</v>
      </c>
    </row>
    <row r="5" customFormat="false" ht="15" hidden="false" customHeight="false" outlineLevel="0" collapsed="false">
      <c r="A5" s="11" t="s">
        <v>13</v>
      </c>
      <c r="B5" s="12" t="n">
        <v>0.95</v>
      </c>
      <c r="C5" s="11" t="s">
        <v>14</v>
      </c>
    </row>
    <row r="6" customFormat="false" ht="15" hidden="false" customHeight="false" outlineLevel="0" collapsed="false">
      <c r="A6" s="11" t="s">
        <v>15</v>
      </c>
      <c r="B6" s="13" t="n">
        <f aca="false">NORMSINV(B5)</f>
        <v>1.64485362695147</v>
      </c>
      <c r="C6" s="11" t="s">
        <v>16</v>
      </c>
    </row>
    <row r="7" customFormat="false" ht="15" hidden="false" customHeight="false" outlineLevel="0" collapsed="false">
      <c r="A7" s="11" t="s">
        <v>17</v>
      </c>
      <c r="B7" s="14" t="n">
        <v>75</v>
      </c>
      <c r="C7" s="11" t="s">
        <v>18</v>
      </c>
    </row>
    <row r="8" customFormat="false" ht="15" hidden="false" customHeight="false" outlineLevel="0" collapsed="false">
      <c r="A8" s="11" t="s">
        <v>19</v>
      </c>
      <c r="B8" s="12" t="n">
        <v>0.2</v>
      </c>
      <c r="C8" s="11" t="s">
        <v>20</v>
      </c>
    </row>
    <row r="9" customFormat="false" ht="15" hidden="false" customHeight="false" outlineLevel="0" collapsed="false">
      <c r="A9" s="11" t="s">
        <v>21</v>
      </c>
      <c r="B9" s="15" t="n">
        <v>30</v>
      </c>
      <c r="C9" s="11" t="s">
        <v>22</v>
      </c>
    </row>
    <row r="10" customFormat="false" ht="15" hidden="false" customHeight="false" outlineLevel="0" collapsed="false">
      <c r="A10" s="11" t="s">
        <v>23</v>
      </c>
      <c r="B10" s="15" t="n">
        <v>365</v>
      </c>
      <c r="C10" s="11" t="s">
        <v>24</v>
      </c>
    </row>
    <row r="13" customFormat="false" ht="15" hidden="false" customHeight="false" outlineLevel="0" collapsed="false">
      <c r="A13" s="16" t="s">
        <v>25</v>
      </c>
    </row>
    <row r="14" customFormat="false" ht="30" hidden="false" customHeight="true" outlineLevel="0" collapsed="false">
      <c r="A14" s="17" t="s">
        <v>26</v>
      </c>
      <c r="B14" s="17"/>
      <c r="C14" s="17"/>
    </row>
    <row r="15" customFormat="false" ht="30" hidden="false" customHeight="true" outlineLevel="0" collapsed="false">
      <c r="A15" s="17" t="s">
        <v>27</v>
      </c>
      <c r="B15" s="17"/>
      <c r="C15" s="17"/>
    </row>
    <row r="16" customFormat="false" ht="30" hidden="false" customHeight="true" outlineLevel="0" collapsed="false">
      <c r="A16" s="17" t="s">
        <v>28</v>
      </c>
      <c r="B16" s="17"/>
      <c r="C16" s="17"/>
    </row>
    <row r="17" customFormat="false" ht="30" hidden="false" customHeight="true" outlineLevel="0" collapsed="false">
      <c r="A17" s="17" t="s">
        <v>29</v>
      </c>
      <c r="B17" s="17"/>
      <c r="C17" s="17"/>
    </row>
    <row r="18" customFormat="false" ht="30" hidden="false" customHeight="true" outlineLevel="0" collapsed="false">
      <c r="A18" s="17" t="s">
        <v>30</v>
      </c>
      <c r="B18" s="17"/>
      <c r="C18" s="17"/>
    </row>
    <row r="20" customFormat="false" ht="15" hidden="false" customHeight="false" outlineLevel="0" collapsed="false">
      <c r="A20" s="16" t="s">
        <v>31</v>
      </c>
    </row>
    <row r="21" customFormat="false" ht="30" hidden="false" customHeight="true" outlineLevel="0" collapsed="false">
      <c r="A21" s="17" t="s">
        <v>32</v>
      </c>
      <c r="B21" s="17"/>
      <c r="C21" s="17"/>
    </row>
    <row r="23" customFormat="false" ht="15" hidden="false" customHeight="false" outlineLevel="0" collapsed="false">
      <c r="A23" s="16" t="s">
        <v>33</v>
      </c>
    </row>
    <row r="24" customFormat="false" ht="27.75" hidden="false" customHeight="true" outlineLevel="0" collapsed="false">
      <c r="A24" s="17" t="s">
        <v>34</v>
      </c>
      <c r="B24" s="17"/>
      <c r="C24" s="17"/>
    </row>
    <row r="25" customFormat="false" ht="27.75" hidden="false" customHeight="true" outlineLevel="0" collapsed="false">
      <c r="A25" s="17" t="s">
        <v>35</v>
      </c>
      <c r="B25" s="17"/>
      <c r="C25" s="17"/>
    </row>
    <row r="26" customFormat="false" ht="27.75" hidden="false" customHeight="true" outlineLevel="0" collapsed="false">
      <c r="A26" s="17" t="s">
        <v>36</v>
      </c>
      <c r="B26" s="17"/>
      <c r="C26" s="17"/>
    </row>
    <row r="27" customFormat="false" ht="27.75" hidden="false" customHeight="true" outlineLevel="0" collapsed="false">
      <c r="A27" s="17" t="s">
        <v>37</v>
      </c>
      <c r="B27" s="17"/>
      <c r="C27" s="17"/>
    </row>
    <row r="28" customFormat="false" ht="27.75" hidden="false" customHeight="true" outlineLevel="0" collapsed="false">
      <c r="A28" s="17" t="s">
        <v>38</v>
      </c>
      <c r="B28" s="17"/>
      <c r="C28" s="17"/>
    </row>
  </sheetData>
  <mergeCells count="11">
    <mergeCell ref="A14:C14"/>
    <mergeCell ref="A15:C15"/>
    <mergeCell ref="A16:C16"/>
    <mergeCell ref="A17:C17"/>
    <mergeCell ref="A18:C18"/>
    <mergeCell ref="A21:C21"/>
    <mergeCell ref="A24:C24"/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I1" s="2" t="s">
        <v>46</v>
      </c>
    </row>
    <row r="2" customFormat="false" ht="15" hidden="false" customHeight="false" outlineLevel="0" collapsed="false">
      <c r="A2" s="18" t="s">
        <v>47</v>
      </c>
      <c r="B2" s="18" t="s">
        <v>48</v>
      </c>
      <c r="C2" s="18" t="s">
        <v>49</v>
      </c>
      <c r="D2" s="19" t="n">
        <v>1.2</v>
      </c>
      <c r="E2" s="20" t="n">
        <v>14</v>
      </c>
      <c r="F2" s="20" t="n">
        <v>2</v>
      </c>
      <c r="G2" s="21" t="n">
        <v>1340</v>
      </c>
    </row>
    <row r="3" customFormat="false" ht="15" hidden="false" customHeight="false" outlineLevel="0" collapsed="false">
      <c r="A3" s="18" t="s">
        <v>50</v>
      </c>
      <c r="B3" s="18" t="s">
        <v>51</v>
      </c>
      <c r="C3" s="18" t="s">
        <v>52</v>
      </c>
      <c r="D3" s="19" t="n">
        <v>18</v>
      </c>
      <c r="E3" s="20" t="n">
        <v>30</v>
      </c>
      <c r="F3" s="20" t="n">
        <v>5</v>
      </c>
      <c r="G3" s="21" t="n">
        <v>1122</v>
      </c>
    </row>
    <row r="4" customFormat="false" ht="15" hidden="false" customHeight="false" outlineLevel="0" collapsed="false">
      <c r="A4" s="18" t="s">
        <v>53</v>
      </c>
      <c r="B4" s="18" t="s">
        <v>54</v>
      </c>
      <c r="C4" s="18" t="s">
        <v>55</v>
      </c>
      <c r="D4" s="19" t="n">
        <v>4</v>
      </c>
      <c r="E4" s="20" t="n">
        <v>21</v>
      </c>
      <c r="F4" s="20" t="n">
        <v>3</v>
      </c>
      <c r="G4" s="21" t="n">
        <v>1205</v>
      </c>
    </row>
    <row r="5" customFormat="false" ht="15" hidden="false" customHeight="false" outlineLevel="0" collapsed="false">
      <c r="A5" s="18" t="s">
        <v>56</v>
      </c>
      <c r="B5" s="18" t="s">
        <v>57</v>
      </c>
      <c r="C5" s="18" t="s">
        <v>55</v>
      </c>
      <c r="D5" s="19" t="n">
        <v>12</v>
      </c>
      <c r="E5" s="20" t="n">
        <v>21</v>
      </c>
      <c r="F5" s="20" t="n">
        <v>4</v>
      </c>
      <c r="G5" s="21" t="n">
        <v>813</v>
      </c>
    </row>
    <row r="6" customFormat="false" ht="15" hidden="false" customHeight="false" outlineLevel="0" collapsed="false">
      <c r="A6" s="18" t="s">
        <v>58</v>
      </c>
      <c r="B6" s="18" t="s">
        <v>59</v>
      </c>
      <c r="C6" s="18" t="s">
        <v>52</v>
      </c>
      <c r="D6" s="19" t="n">
        <v>25</v>
      </c>
      <c r="E6" s="20" t="n">
        <v>35</v>
      </c>
      <c r="F6" s="20" t="n">
        <v>6</v>
      </c>
      <c r="G6" s="21" t="n">
        <v>773</v>
      </c>
    </row>
    <row r="7" customFormat="false" ht="15" hidden="false" customHeight="false" outlineLevel="0" collapsed="false">
      <c r="A7" s="18" t="s">
        <v>60</v>
      </c>
      <c r="B7" s="18" t="s">
        <v>61</v>
      </c>
      <c r="C7" s="18" t="s">
        <v>62</v>
      </c>
      <c r="D7" s="19" t="n">
        <v>55</v>
      </c>
      <c r="E7" s="20" t="n">
        <v>40</v>
      </c>
      <c r="F7" s="20" t="n">
        <v>7</v>
      </c>
      <c r="G7" s="21" t="n">
        <v>638</v>
      </c>
    </row>
    <row r="8" customFormat="false" ht="15" hidden="false" customHeight="false" outlineLevel="0" collapsed="false">
      <c r="A8" s="18" t="s">
        <v>63</v>
      </c>
      <c r="B8" s="18" t="s">
        <v>64</v>
      </c>
      <c r="C8" s="18" t="s">
        <v>49</v>
      </c>
      <c r="D8" s="19" t="n">
        <v>5</v>
      </c>
      <c r="E8" s="20" t="n">
        <v>18</v>
      </c>
      <c r="F8" s="20" t="n">
        <v>2</v>
      </c>
      <c r="G8" s="21" t="n">
        <v>191</v>
      </c>
    </row>
    <row r="9" customFormat="false" ht="15" hidden="false" customHeight="false" outlineLevel="0" collapsed="false">
      <c r="A9" s="18" t="s">
        <v>65</v>
      </c>
      <c r="B9" s="18" t="s">
        <v>66</v>
      </c>
      <c r="C9" s="18" t="s">
        <v>67</v>
      </c>
      <c r="D9" s="19" t="n">
        <v>12</v>
      </c>
      <c r="E9" s="20" t="n">
        <v>28</v>
      </c>
      <c r="F9" s="20" t="n">
        <v>4</v>
      </c>
      <c r="G9" s="21" t="n">
        <v>252</v>
      </c>
    </row>
    <row r="10" customFormat="false" ht="15" hidden="false" customHeight="false" outlineLevel="0" collapsed="false">
      <c r="A10" s="18" t="s">
        <v>68</v>
      </c>
      <c r="B10" s="18" t="s">
        <v>69</v>
      </c>
      <c r="C10" s="18" t="s">
        <v>67</v>
      </c>
      <c r="D10" s="19" t="n">
        <v>22</v>
      </c>
      <c r="E10" s="20" t="n">
        <v>30</v>
      </c>
      <c r="F10" s="20" t="n">
        <v>5</v>
      </c>
      <c r="G10" s="21" t="n">
        <v>635</v>
      </c>
    </row>
    <row r="11" customFormat="false" ht="15" hidden="false" customHeight="false" outlineLevel="0" collapsed="false">
      <c r="A11" s="18" t="s">
        <v>70</v>
      </c>
      <c r="B11" s="18" t="s">
        <v>71</v>
      </c>
      <c r="C11" s="18" t="s">
        <v>67</v>
      </c>
      <c r="D11" s="19" t="n">
        <v>5</v>
      </c>
      <c r="E11" s="20" t="n">
        <v>20</v>
      </c>
      <c r="F11" s="20" t="n">
        <v>3</v>
      </c>
      <c r="G11" s="21" t="n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2" min="2" style="0" width="10"/>
  </cols>
  <sheetData>
    <row r="1" customFormat="false" ht="31.5" hidden="false" customHeight="true" outlineLevel="0" collapsed="false">
      <c r="A1" s="10" t="s">
        <v>72</v>
      </c>
      <c r="B1" s="10" t="s">
        <v>47</v>
      </c>
      <c r="C1" s="10" t="s">
        <v>50</v>
      </c>
      <c r="D1" s="10" t="s">
        <v>53</v>
      </c>
      <c r="E1" s="10" t="s">
        <v>56</v>
      </c>
      <c r="F1" s="10" t="s">
        <v>58</v>
      </c>
      <c r="G1" s="10" t="s">
        <v>60</v>
      </c>
      <c r="H1" s="10" t="s">
        <v>63</v>
      </c>
      <c r="I1" s="10" t="s">
        <v>65</v>
      </c>
      <c r="J1" s="10" t="s">
        <v>68</v>
      </c>
      <c r="K1" s="10" t="s">
        <v>70</v>
      </c>
      <c r="L1" s="10" t="s">
        <v>73</v>
      </c>
      <c r="N1" s="2" t="s">
        <v>74</v>
      </c>
    </row>
    <row r="2" customFormat="false" ht="15" hidden="false" customHeight="false" outlineLevel="0" collapsed="false">
      <c r="A2" s="22" t="n">
        <v>45566</v>
      </c>
      <c r="B2" s="21" t="n">
        <v>2015</v>
      </c>
      <c r="C2" s="21" t="n">
        <v>698</v>
      </c>
      <c r="D2" s="21" t="n">
        <v>1064</v>
      </c>
      <c r="E2" s="21" t="n">
        <v>461</v>
      </c>
      <c r="F2" s="21" t="n">
        <v>318</v>
      </c>
      <c r="G2" s="21" t="n">
        <v>293</v>
      </c>
      <c r="H2" s="21" t="n">
        <v>241</v>
      </c>
      <c r="I2" s="21" t="n">
        <v>126</v>
      </c>
      <c r="J2" s="21" t="n">
        <v>302</v>
      </c>
      <c r="K2" s="21" t="n">
        <v>700</v>
      </c>
      <c r="L2" s="23" t="n">
        <f aca="false">SUM(B2:K2)</f>
        <v>6218</v>
      </c>
    </row>
    <row r="3" customFormat="false" ht="15" hidden="false" customHeight="false" outlineLevel="0" collapsed="false">
      <c r="A3" s="22" t="n">
        <v>45597</v>
      </c>
      <c r="B3" s="21" t="n">
        <v>2068</v>
      </c>
      <c r="C3" s="21" t="n">
        <v>861</v>
      </c>
      <c r="D3" s="21" t="n">
        <v>1193</v>
      </c>
      <c r="E3" s="21" t="n">
        <v>709</v>
      </c>
      <c r="F3" s="21" t="n">
        <v>420</v>
      </c>
      <c r="G3" s="21" t="n">
        <v>478</v>
      </c>
      <c r="H3" s="21" t="n">
        <v>311</v>
      </c>
      <c r="I3" s="21" t="n">
        <v>156</v>
      </c>
      <c r="J3" s="21" t="n">
        <v>498</v>
      </c>
      <c r="K3" s="21" t="n">
        <v>946</v>
      </c>
      <c r="L3" s="23" t="n">
        <f aca="false">SUM(B3:K3)</f>
        <v>7640</v>
      </c>
    </row>
    <row r="4" customFormat="false" ht="15" hidden="false" customHeight="false" outlineLevel="0" collapsed="false">
      <c r="A4" s="22" t="n">
        <v>45627</v>
      </c>
      <c r="B4" s="21" t="n">
        <v>2802</v>
      </c>
      <c r="C4" s="21" t="n">
        <v>1095</v>
      </c>
      <c r="D4" s="21" t="n">
        <v>1337</v>
      </c>
      <c r="E4" s="21" t="n">
        <v>730</v>
      </c>
      <c r="F4" s="21" t="n">
        <v>617</v>
      </c>
      <c r="G4" s="21" t="n">
        <v>524</v>
      </c>
      <c r="H4" s="21" t="n">
        <v>329</v>
      </c>
      <c r="I4" s="21" t="n">
        <v>152</v>
      </c>
      <c r="J4" s="21" t="n">
        <v>343</v>
      </c>
      <c r="K4" s="21" t="n">
        <v>837</v>
      </c>
      <c r="L4" s="23" t="n">
        <f aca="false">SUM(B4:K4)</f>
        <v>8766</v>
      </c>
    </row>
    <row r="5" customFormat="false" ht="15" hidden="false" customHeight="false" outlineLevel="0" collapsed="false">
      <c r="A5" s="22" t="n">
        <v>45658</v>
      </c>
      <c r="B5" s="21" t="n">
        <v>1899</v>
      </c>
      <c r="C5" s="21" t="n">
        <v>707</v>
      </c>
      <c r="D5" s="21" t="n">
        <v>928</v>
      </c>
      <c r="E5" s="21" t="n">
        <v>526</v>
      </c>
      <c r="F5" s="21" t="n">
        <v>310</v>
      </c>
      <c r="G5" s="21" t="n">
        <v>431</v>
      </c>
      <c r="H5" s="21" t="n">
        <v>233</v>
      </c>
      <c r="I5" s="21" t="n">
        <v>122</v>
      </c>
      <c r="J5" s="21" t="n">
        <v>239</v>
      </c>
      <c r="K5" s="21" t="n">
        <v>509</v>
      </c>
      <c r="L5" s="23" t="n">
        <f aca="false">SUM(B5:K5)</f>
        <v>5904</v>
      </c>
    </row>
    <row r="6" customFormat="false" ht="15" hidden="false" customHeight="false" outlineLevel="0" collapsed="false">
      <c r="A6" s="22" t="n">
        <v>45689</v>
      </c>
      <c r="B6" s="21" t="n">
        <v>1291</v>
      </c>
      <c r="C6" s="21" t="n">
        <v>704</v>
      </c>
      <c r="D6" s="21" t="n">
        <v>671</v>
      </c>
      <c r="E6" s="21" t="n">
        <v>436</v>
      </c>
      <c r="F6" s="21" t="n">
        <v>346</v>
      </c>
      <c r="G6" s="21" t="n">
        <v>388</v>
      </c>
      <c r="H6" s="21" t="n">
        <v>267</v>
      </c>
      <c r="I6" s="21" t="n">
        <v>104</v>
      </c>
      <c r="J6" s="21" t="n">
        <v>313</v>
      </c>
      <c r="K6" s="21" t="n">
        <v>543</v>
      </c>
      <c r="L6" s="23" t="n">
        <f aca="false">SUM(B6:K6)</f>
        <v>5063</v>
      </c>
    </row>
    <row r="7" customFormat="false" ht="15" hidden="false" customHeight="false" outlineLevel="0" collapsed="false">
      <c r="A7" s="22" t="n">
        <v>45717</v>
      </c>
      <c r="B7" s="21" t="n">
        <v>1516</v>
      </c>
      <c r="C7" s="21" t="n">
        <v>753</v>
      </c>
      <c r="D7" s="21" t="n">
        <v>858</v>
      </c>
      <c r="E7" s="21" t="n">
        <v>512</v>
      </c>
      <c r="F7" s="21" t="n">
        <v>503</v>
      </c>
      <c r="G7" s="21" t="n">
        <v>377</v>
      </c>
      <c r="H7" s="21" t="n">
        <v>255</v>
      </c>
      <c r="I7" s="21" t="n">
        <v>95</v>
      </c>
      <c r="J7" s="21" t="n">
        <v>278</v>
      </c>
      <c r="K7" s="21" t="n">
        <v>621</v>
      </c>
      <c r="L7" s="23" t="n">
        <f aca="false">SUM(B7:K7)</f>
        <v>5768</v>
      </c>
    </row>
    <row r="8" customFormat="false" ht="15" hidden="false" customHeight="false" outlineLevel="0" collapsed="false">
      <c r="A8" s="22" t="n">
        <v>45748</v>
      </c>
      <c r="B8" s="21" t="n">
        <v>1882</v>
      </c>
      <c r="C8" s="21" t="n">
        <v>999</v>
      </c>
      <c r="D8" s="21" t="n">
        <v>866</v>
      </c>
      <c r="E8" s="21" t="n">
        <v>566</v>
      </c>
      <c r="F8" s="21" t="n">
        <v>383</v>
      </c>
      <c r="G8" s="21" t="n">
        <v>476</v>
      </c>
      <c r="H8" s="21" t="n">
        <v>252</v>
      </c>
      <c r="I8" s="21" t="n">
        <v>97</v>
      </c>
      <c r="J8" s="21" t="n">
        <v>309</v>
      </c>
      <c r="K8" s="21" t="n">
        <v>634</v>
      </c>
      <c r="L8" s="23" t="n">
        <f aca="false">SUM(B8:K8)</f>
        <v>6464</v>
      </c>
    </row>
    <row r="9" customFormat="false" ht="15" hidden="false" customHeight="false" outlineLevel="0" collapsed="false">
      <c r="A9" s="22" t="n">
        <v>45778</v>
      </c>
      <c r="B9" s="21" t="n">
        <v>1857</v>
      </c>
      <c r="C9" s="21" t="n">
        <v>696</v>
      </c>
      <c r="D9" s="21" t="n">
        <v>879</v>
      </c>
      <c r="E9" s="21" t="n">
        <v>510</v>
      </c>
      <c r="F9" s="21" t="n">
        <v>492</v>
      </c>
      <c r="G9" s="21" t="n">
        <v>277</v>
      </c>
      <c r="H9" s="21" t="n">
        <v>232</v>
      </c>
      <c r="I9" s="21" t="n">
        <v>132</v>
      </c>
      <c r="J9" s="21" t="n">
        <v>312</v>
      </c>
      <c r="K9" s="21" t="n">
        <v>539</v>
      </c>
      <c r="L9" s="23" t="n">
        <f aca="false">SUM(B9:K9)</f>
        <v>5926</v>
      </c>
    </row>
    <row r="10" customFormat="false" ht="15" hidden="false" customHeight="false" outlineLevel="0" collapsed="false">
      <c r="A10" s="22" t="n">
        <v>45809</v>
      </c>
      <c r="B10" s="21" t="n">
        <v>1906</v>
      </c>
      <c r="C10" s="21" t="n">
        <v>674</v>
      </c>
      <c r="D10" s="21" t="n">
        <v>918</v>
      </c>
      <c r="E10" s="21" t="n">
        <v>569</v>
      </c>
      <c r="F10" s="21" t="n">
        <v>345</v>
      </c>
      <c r="G10" s="21" t="n">
        <v>319</v>
      </c>
      <c r="H10" s="21" t="n">
        <v>208</v>
      </c>
      <c r="I10" s="21" t="n">
        <v>162</v>
      </c>
      <c r="J10" s="21" t="n">
        <v>338</v>
      </c>
      <c r="K10" s="21" t="n">
        <v>645</v>
      </c>
      <c r="L10" s="23" t="n">
        <f aca="false">SUM(B10:K10)</f>
        <v>6084</v>
      </c>
    </row>
    <row r="11" customFormat="false" ht="15" hidden="false" customHeight="false" outlineLevel="0" collapsed="false">
      <c r="A11" s="22" t="n">
        <v>45839</v>
      </c>
      <c r="B11" s="21" t="n">
        <v>1714</v>
      </c>
      <c r="C11" s="21" t="n">
        <v>634</v>
      </c>
      <c r="D11" s="21" t="n">
        <v>1155</v>
      </c>
      <c r="E11" s="21" t="n">
        <v>474</v>
      </c>
      <c r="F11" s="21" t="n">
        <v>407</v>
      </c>
      <c r="G11" s="21" t="n">
        <v>296</v>
      </c>
      <c r="H11" s="21" t="n">
        <v>248</v>
      </c>
      <c r="I11" s="21" t="n">
        <v>131</v>
      </c>
      <c r="J11" s="21" t="n">
        <v>399</v>
      </c>
      <c r="K11" s="21" t="n">
        <v>658</v>
      </c>
      <c r="L11" s="23" t="n">
        <f aca="false">SUM(B11:K11)</f>
        <v>6116</v>
      </c>
    </row>
    <row r="12" customFormat="false" ht="15" hidden="false" customHeight="false" outlineLevel="0" collapsed="false">
      <c r="A12" s="22" t="n">
        <v>45870</v>
      </c>
      <c r="B12" s="21" t="n">
        <v>2198</v>
      </c>
      <c r="C12" s="21" t="n">
        <v>859</v>
      </c>
      <c r="D12" s="21" t="n">
        <v>874</v>
      </c>
      <c r="E12" s="21" t="n">
        <v>520</v>
      </c>
      <c r="F12" s="21" t="n">
        <v>358</v>
      </c>
      <c r="G12" s="21" t="n">
        <v>353</v>
      </c>
      <c r="H12" s="21" t="n">
        <v>274</v>
      </c>
      <c r="I12" s="21" t="n">
        <v>130</v>
      </c>
      <c r="J12" s="21" t="n">
        <v>337</v>
      </c>
      <c r="K12" s="21" t="n">
        <v>913</v>
      </c>
      <c r="L12" s="23" t="n">
        <f aca="false">SUM(B12:K12)</f>
        <v>6816</v>
      </c>
    </row>
    <row r="13" customFormat="false" ht="15" hidden="false" customHeight="false" outlineLevel="0" collapsed="false">
      <c r="A13" s="22" t="n">
        <v>45901</v>
      </c>
      <c r="B13" s="21" t="n">
        <v>2262</v>
      </c>
      <c r="C13" s="21" t="n">
        <v>968</v>
      </c>
      <c r="D13" s="21" t="n">
        <v>1174</v>
      </c>
      <c r="E13" s="21" t="n">
        <v>539</v>
      </c>
      <c r="F13" s="21" t="n">
        <v>428</v>
      </c>
      <c r="G13" s="21" t="n">
        <v>280</v>
      </c>
      <c r="H13" s="21" t="n">
        <v>353</v>
      </c>
      <c r="I13" s="21" t="n">
        <v>145</v>
      </c>
      <c r="J13" s="21" t="n">
        <v>385</v>
      </c>
      <c r="K13" s="21" t="n">
        <v>884</v>
      </c>
      <c r="L13" s="23" t="n">
        <f aca="false">SUM(B13:K13)</f>
        <v>7418</v>
      </c>
    </row>
    <row r="14" customFormat="false" ht="15" hidden="false" customHeight="false" outlineLevel="0" collapsed="false">
      <c r="A14" s="22" t="n">
        <v>45931</v>
      </c>
      <c r="B14" s="21" t="n">
        <v>2208</v>
      </c>
      <c r="C14" s="21" t="n">
        <v>834</v>
      </c>
      <c r="D14" s="21" t="n">
        <v>837</v>
      </c>
      <c r="E14" s="21" t="n">
        <v>492</v>
      </c>
      <c r="F14" s="21" t="n">
        <v>569</v>
      </c>
      <c r="G14" s="21" t="n">
        <v>485</v>
      </c>
      <c r="H14" s="21" t="n">
        <v>309</v>
      </c>
      <c r="I14" s="21" t="n">
        <v>178</v>
      </c>
      <c r="J14" s="21" t="n">
        <v>230</v>
      </c>
      <c r="K14" s="21" t="n">
        <v>637</v>
      </c>
      <c r="L14" s="23" t="n">
        <f aca="false">SUM(B14:K14)</f>
        <v>6779</v>
      </c>
    </row>
    <row r="15" customFormat="false" ht="15" hidden="false" customHeight="false" outlineLevel="0" collapsed="false">
      <c r="A15" s="22" t="n">
        <v>45962</v>
      </c>
      <c r="B15" s="21" t="n">
        <v>3023</v>
      </c>
      <c r="C15" s="21" t="n">
        <v>879</v>
      </c>
      <c r="D15" s="21" t="n">
        <v>1269</v>
      </c>
      <c r="E15" s="21" t="n">
        <v>797</v>
      </c>
      <c r="F15" s="21" t="n">
        <v>387</v>
      </c>
      <c r="G15" s="21" t="n">
        <v>493</v>
      </c>
      <c r="H15" s="21" t="n">
        <v>417</v>
      </c>
      <c r="I15" s="21" t="n">
        <v>184</v>
      </c>
      <c r="J15" s="21" t="n">
        <v>440</v>
      </c>
      <c r="K15" s="21" t="n">
        <v>849</v>
      </c>
      <c r="L15" s="23" t="n">
        <f aca="false">SUM(B15:K15)</f>
        <v>8738</v>
      </c>
    </row>
    <row r="16" customFormat="false" ht="15" hidden="false" customHeight="false" outlineLevel="0" collapsed="false">
      <c r="A16" s="22" t="n">
        <v>45992</v>
      </c>
      <c r="B16" s="21" t="n">
        <v>3059</v>
      </c>
      <c r="C16" s="21" t="n">
        <v>959</v>
      </c>
      <c r="D16" s="21" t="n">
        <v>1481</v>
      </c>
      <c r="E16" s="21" t="n">
        <v>744</v>
      </c>
      <c r="F16" s="21" t="n">
        <v>700</v>
      </c>
      <c r="G16" s="21" t="n">
        <v>381</v>
      </c>
      <c r="H16" s="21" t="n">
        <v>376</v>
      </c>
      <c r="I16" s="21" t="n">
        <v>180</v>
      </c>
      <c r="J16" s="21" t="n">
        <v>410</v>
      </c>
      <c r="K16" s="21" t="n">
        <v>754</v>
      </c>
      <c r="L16" s="23" t="n">
        <f aca="false">SUM(B16:K16)</f>
        <v>9044</v>
      </c>
    </row>
    <row r="17" customFormat="false" ht="15" hidden="false" customHeight="false" outlineLevel="0" collapsed="false">
      <c r="A17" s="22" t="n">
        <v>46023</v>
      </c>
      <c r="B17" s="21" t="n">
        <v>1724</v>
      </c>
      <c r="C17" s="21" t="n">
        <v>835</v>
      </c>
      <c r="D17" s="21" t="n">
        <v>1040</v>
      </c>
      <c r="E17" s="21" t="n">
        <v>535</v>
      </c>
      <c r="F17" s="21" t="n">
        <v>448</v>
      </c>
      <c r="G17" s="21" t="n">
        <v>290</v>
      </c>
      <c r="H17" s="21" t="n">
        <v>226</v>
      </c>
      <c r="I17" s="21" t="n">
        <v>152</v>
      </c>
      <c r="J17" s="21" t="n">
        <v>250</v>
      </c>
      <c r="K17" s="21" t="n">
        <v>584</v>
      </c>
      <c r="L17" s="23" t="n">
        <f aca="false">SUM(B17:K17)</f>
        <v>6084</v>
      </c>
    </row>
    <row r="18" customFormat="false" ht="15" hidden="false" customHeight="false" outlineLevel="0" collapsed="false">
      <c r="A18" s="22" t="n">
        <v>46054</v>
      </c>
      <c r="B18" s="21" t="n">
        <v>1984</v>
      </c>
      <c r="C18" s="21" t="n">
        <v>838</v>
      </c>
      <c r="D18" s="21" t="n">
        <v>1044</v>
      </c>
      <c r="E18" s="21" t="n">
        <v>568</v>
      </c>
      <c r="F18" s="21" t="n">
        <v>372</v>
      </c>
      <c r="G18" s="21" t="n">
        <v>395</v>
      </c>
      <c r="H18" s="21" t="n">
        <v>231</v>
      </c>
      <c r="I18" s="21" t="n">
        <v>136</v>
      </c>
      <c r="J18" s="21" t="n">
        <v>267</v>
      </c>
      <c r="K18" s="21" t="n">
        <v>663</v>
      </c>
      <c r="L18" s="23" t="n">
        <f aca="false">SUM(B18:K18)</f>
        <v>6498</v>
      </c>
    </row>
    <row r="19" customFormat="false" ht="15" hidden="false" customHeight="false" outlineLevel="0" collapsed="false">
      <c r="A19" s="22" t="n">
        <v>46082</v>
      </c>
      <c r="B19" s="21" t="n">
        <v>1792</v>
      </c>
      <c r="C19" s="21" t="n">
        <v>865</v>
      </c>
      <c r="D19" s="21" t="n">
        <v>1125</v>
      </c>
      <c r="E19" s="21" t="n">
        <v>603</v>
      </c>
      <c r="F19" s="21" t="n">
        <v>320</v>
      </c>
      <c r="G19" s="21" t="n">
        <v>466</v>
      </c>
      <c r="H19" s="21" t="n">
        <v>255</v>
      </c>
      <c r="I19" s="21" t="n">
        <v>170</v>
      </c>
      <c r="J19" s="21" t="n">
        <v>317</v>
      </c>
      <c r="K19" s="21" t="n">
        <v>797</v>
      </c>
      <c r="L19" s="23" t="n">
        <f aca="false">SUM(B19:K19)</f>
        <v>6710</v>
      </c>
    </row>
    <row r="20" customFormat="false" ht="15" hidden="false" customHeight="false" outlineLevel="0" collapsed="false">
      <c r="A20" s="22" t="n">
        <v>46113</v>
      </c>
      <c r="B20" s="21" t="n">
        <v>2309</v>
      </c>
      <c r="C20" s="21" t="n">
        <v>715</v>
      </c>
      <c r="D20" s="21" t="n">
        <v>993</v>
      </c>
      <c r="E20" s="21" t="n">
        <v>642</v>
      </c>
      <c r="F20" s="21" t="n">
        <v>471</v>
      </c>
      <c r="G20" s="21" t="n">
        <v>584</v>
      </c>
      <c r="H20" s="21" t="n">
        <v>370</v>
      </c>
      <c r="I20" s="21" t="n">
        <v>144</v>
      </c>
      <c r="J20" s="21" t="n">
        <v>405</v>
      </c>
      <c r="K20" s="21" t="n">
        <v>620</v>
      </c>
      <c r="L20" s="23" t="n">
        <f aca="false">SUM(B20:K20)</f>
        <v>7253</v>
      </c>
    </row>
    <row r="21" customFormat="false" ht="15" hidden="false" customHeight="false" outlineLevel="0" collapsed="false">
      <c r="A21" s="22" t="n">
        <v>46143</v>
      </c>
      <c r="B21" s="21" t="n">
        <v>2162</v>
      </c>
      <c r="C21" s="21" t="n">
        <v>881</v>
      </c>
      <c r="D21" s="21" t="n">
        <v>1017</v>
      </c>
      <c r="E21" s="21" t="n">
        <v>595</v>
      </c>
      <c r="F21" s="21" t="n">
        <v>432</v>
      </c>
      <c r="G21" s="21" t="n">
        <v>694</v>
      </c>
      <c r="H21" s="21" t="n">
        <v>270</v>
      </c>
      <c r="I21" s="21" t="n">
        <v>115</v>
      </c>
      <c r="J21" s="21" t="n">
        <v>276</v>
      </c>
      <c r="K21" s="21" t="n">
        <v>654</v>
      </c>
      <c r="L21" s="23" t="n">
        <f aca="false">SUM(B21:K21)</f>
        <v>7096</v>
      </c>
    </row>
    <row r="22" customFormat="false" ht="15" hidden="false" customHeight="false" outlineLevel="0" collapsed="false">
      <c r="A22" s="22" t="n">
        <v>46174</v>
      </c>
      <c r="B22" s="21" t="n">
        <v>2105</v>
      </c>
      <c r="C22" s="21" t="n">
        <v>855</v>
      </c>
      <c r="D22" s="21" t="n">
        <v>1205</v>
      </c>
      <c r="E22" s="21" t="n">
        <v>557</v>
      </c>
      <c r="F22" s="21" t="n">
        <v>501</v>
      </c>
      <c r="G22" s="21" t="n">
        <v>457</v>
      </c>
      <c r="H22" s="21" t="n">
        <v>332</v>
      </c>
      <c r="I22" s="21" t="n">
        <v>110</v>
      </c>
      <c r="J22" s="21" t="n">
        <v>361</v>
      </c>
      <c r="K22" s="21" t="n">
        <v>486</v>
      </c>
      <c r="L22" s="23" t="n">
        <f aca="false">SUM(B22:K22)</f>
        <v>6969</v>
      </c>
    </row>
    <row r="23" customFormat="false" ht="15" hidden="false" customHeight="false" outlineLevel="0" collapsed="false">
      <c r="A23" s="22" t="n">
        <v>46204</v>
      </c>
      <c r="B23" s="21" t="n">
        <v>1976</v>
      </c>
      <c r="C23" s="21" t="n">
        <v>870</v>
      </c>
      <c r="D23" s="21" t="n">
        <v>1047</v>
      </c>
      <c r="E23" s="21" t="n">
        <v>590</v>
      </c>
      <c r="F23" s="21" t="n">
        <v>480</v>
      </c>
      <c r="G23" s="21" t="n">
        <v>327</v>
      </c>
      <c r="H23" s="21" t="n">
        <v>264</v>
      </c>
      <c r="I23" s="21" t="n">
        <v>184</v>
      </c>
      <c r="J23" s="21" t="n">
        <v>327</v>
      </c>
      <c r="K23" s="21" t="n">
        <v>700</v>
      </c>
      <c r="L23" s="23" t="n">
        <f aca="false">SUM(B23:K23)</f>
        <v>6765</v>
      </c>
    </row>
    <row r="24" customFormat="false" ht="15" hidden="false" customHeight="false" outlineLevel="0" collapsed="false">
      <c r="A24" s="22" t="n">
        <v>46235</v>
      </c>
      <c r="B24" s="21" t="n">
        <v>2569</v>
      </c>
      <c r="C24" s="21" t="n">
        <v>1008</v>
      </c>
      <c r="D24" s="21" t="n">
        <v>920</v>
      </c>
      <c r="E24" s="21" t="n">
        <v>454</v>
      </c>
      <c r="F24" s="21" t="n">
        <v>657</v>
      </c>
      <c r="G24" s="21" t="n">
        <v>231</v>
      </c>
      <c r="H24" s="21" t="n">
        <v>349</v>
      </c>
      <c r="I24" s="21" t="n">
        <v>193</v>
      </c>
      <c r="J24" s="21" t="n">
        <v>351</v>
      </c>
      <c r="K24" s="21" t="n">
        <v>628</v>
      </c>
      <c r="L24" s="23" t="n">
        <f aca="false">SUM(B24:K24)</f>
        <v>7360</v>
      </c>
    </row>
    <row r="25" customFormat="false" ht="15" hidden="false" customHeight="false" outlineLevel="0" collapsed="false">
      <c r="A25" s="22" t="n">
        <v>46266</v>
      </c>
      <c r="B25" s="21" t="n">
        <v>2288</v>
      </c>
      <c r="C25" s="21" t="n">
        <v>943</v>
      </c>
      <c r="D25" s="21" t="n">
        <v>980</v>
      </c>
      <c r="E25" s="21" t="n">
        <v>498</v>
      </c>
      <c r="F25" s="21" t="n">
        <v>493</v>
      </c>
      <c r="G25" s="21" t="n">
        <v>480</v>
      </c>
      <c r="H25" s="21" t="n">
        <v>340</v>
      </c>
      <c r="I25" s="21" t="n">
        <v>151</v>
      </c>
      <c r="J25" s="21" t="n">
        <v>459</v>
      </c>
      <c r="K25" s="21" t="n">
        <v>715</v>
      </c>
      <c r="L25" s="23" t="n">
        <f aca="false">SUM(B25:K25)</f>
        <v>7347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11" min="2" style="0" width="11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0" t="s">
        <v>72</v>
      </c>
      <c r="B1" s="10" t="s">
        <v>47</v>
      </c>
      <c r="C1" s="10" t="s">
        <v>50</v>
      </c>
      <c r="D1" s="10" t="s">
        <v>53</v>
      </c>
      <c r="E1" s="10" t="s">
        <v>56</v>
      </c>
      <c r="F1" s="10" t="s">
        <v>58</v>
      </c>
      <c r="G1" s="10" t="s">
        <v>60</v>
      </c>
      <c r="H1" s="10" t="s">
        <v>63</v>
      </c>
      <c r="I1" s="10" t="s">
        <v>65</v>
      </c>
      <c r="J1" s="10" t="s">
        <v>68</v>
      </c>
      <c r="K1" s="10" t="s">
        <v>70</v>
      </c>
      <c r="L1" s="10" t="s">
        <v>75</v>
      </c>
      <c r="M1" s="10" t="s">
        <v>76</v>
      </c>
    </row>
    <row r="2" customFormat="false" ht="15" hidden="false" customHeight="false" outlineLevel="0" collapsed="false">
      <c r="A2" s="24" t="n">
        <f aca="false">Demand_History!A2</f>
        <v>45566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3"/>
      <c r="M2" s="25" t="n">
        <f aca="false">Demand_History!L2</f>
        <v>6218</v>
      </c>
    </row>
    <row r="3" customFormat="false" ht="15" hidden="false" customHeight="false" outlineLevel="0" collapsed="false">
      <c r="A3" s="24" t="n">
        <f aca="false">Demand_History!A3</f>
        <v>45597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3"/>
      <c r="M3" s="25" t="n">
        <f aca="false">Demand_History!L3</f>
        <v>7640</v>
      </c>
    </row>
    <row r="4" customFormat="false" ht="15" hidden="false" customHeight="false" outlineLevel="0" collapsed="false">
      <c r="A4" s="24" t="n">
        <f aca="false">Demand_History!A4</f>
        <v>45627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3"/>
      <c r="M4" s="25" t="n">
        <f aca="false">Demand_History!L4</f>
        <v>8766</v>
      </c>
    </row>
    <row r="5" customFormat="false" ht="15" hidden="false" customHeight="false" outlineLevel="0" collapsed="false">
      <c r="A5" s="24" t="n">
        <f aca="false">Demand_History!A5</f>
        <v>45658</v>
      </c>
      <c r="B5" s="25" t="n">
        <f aca="false">AVERAGE(Demand_History!B2:B4)</f>
        <v>2295</v>
      </c>
      <c r="C5" s="25" t="n">
        <f aca="false">AVERAGE(Demand_History!C2:C4)</f>
        <v>884.666666666667</v>
      </c>
      <c r="D5" s="25" t="n">
        <f aca="false">AVERAGE(Demand_History!D2:D4)</f>
        <v>1198</v>
      </c>
      <c r="E5" s="25" t="n">
        <f aca="false">AVERAGE(Demand_History!E2:E4)</f>
        <v>633.333333333333</v>
      </c>
      <c r="F5" s="25" t="n">
        <f aca="false">AVERAGE(Demand_History!F2:F4)</f>
        <v>451.666666666667</v>
      </c>
      <c r="G5" s="25" t="n">
        <f aca="false">AVERAGE(Demand_History!G2:G4)</f>
        <v>431.666666666667</v>
      </c>
      <c r="H5" s="25" t="n">
        <f aca="false">AVERAGE(Demand_History!H2:H4)</f>
        <v>293.666666666667</v>
      </c>
      <c r="I5" s="25" t="n">
        <f aca="false">AVERAGE(Demand_History!I2:I4)</f>
        <v>144.666666666667</v>
      </c>
      <c r="J5" s="25" t="n">
        <f aca="false">AVERAGE(Demand_History!J2:J4)</f>
        <v>381</v>
      </c>
      <c r="K5" s="25" t="n">
        <f aca="false">AVERAGE(Demand_History!K2:K4)</f>
        <v>827.666666666667</v>
      </c>
      <c r="L5" s="23" t="n">
        <f aca="false">SUM(B5:K5)</f>
        <v>7541.33333333333</v>
      </c>
      <c r="M5" s="25" t="n">
        <f aca="false">Demand_History!L5</f>
        <v>5904</v>
      </c>
    </row>
    <row r="6" customFormat="false" ht="15" hidden="false" customHeight="false" outlineLevel="0" collapsed="false">
      <c r="A6" s="24" t="n">
        <f aca="false">Demand_History!A6</f>
        <v>45689</v>
      </c>
      <c r="B6" s="25" t="n">
        <f aca="false">AVERAGE(Demand_History!B3:B5)</f>
        <v>2256.33333333333</v>
      </c>
      <c r="C6" s="25" t="n">
        <f aca="false">AVERAGE(Demand_History!C3:C5)</f>
        <v>887.666666666667</v>
      </c>
      <c r="D6" s="25" t="n">
        <f aca="false">AVERAGE(Demand_History!D3:D5)</f>
        <v>1152.66666666667</v>
      </c>
      <c r="E6" s="25" t="n">
        <f aca="false">AVERAGE(Demand_History!E3:E5)</f>
        <v>655</v>
      </c>
      <c r="F6" s="25" t="n">
        <f aca="false">AVERAGE(Demand_History!F3:F5)</f>
        <v>449</v>
      </c>
      <c r="G6" s="25" t="n">
        <f aca="false">AVERAGE(Demand_History!G3:G5)</f>
        <v>477.666666666667</v>
      </c>
      <c r="H6" s="25" t="n">
        <f aca="false">AVERAGE(Demand_History!H3:H5)</f>
        <v>291</v>
      </c>
      <c r="I6" s="25" t="n">
        <f aca="false">AVERAGE(Demand_History!I3:I5)</f>
        <v>143.333333333333</v>
      </c>
      <c r="J6" s="25" t="n">
        <f aca="false">AVERAGE(Demand_History!J3:J5)</f>
        <v>360</v>
      </c>
      <c r="K6" s="25" t="n">
        <f aca="false">AVERAGE(Demand_History!K3:K5)</f>
        <v>764</v>
      </c>
      <c r="L6" s="23" t="n">
        <f aca="false">SUM(B6:K6)</f>
        <v>7436.66666666667</v>
      </c>
      <c r="M6" s="25" t="n">
        <f aca="false">Demand_History!L6</f>
        <v>5063</v>
      </c>
    </row>
    <row r="7" customFormat="false" ht="15" hidden="false" customHeight="false" outlineLevel="0" collapsed="false">
      <c r="A7" s="24" t="n">
        <f aca="false">Demand_History!A7</f>
        <v>45717</v>
      </c>
      <c r="B7" s="25" t="n">
        <f aca="false">AVERAGE(Demand_History!B4:B6)</f>
        <v>1997.33333333333</v>
      </c>
      <c r="C7" s="25" t="n">
        <f aca="false">AVERAGE(Demand_History!C4:C6)</f>
        <v>835.333333333333</v>
      </c>
      <c r="D7" s="25" t="n">
        <f aca="false">AVERAGE(Demand_History!D4:D6)</f>
        <v>978.666666666667</v>
      </c>
      <c r="E7" s="25" t="n">
        <f aca="false">AVERAGE(Demand_History!E4:E6)</f>
        <v>564</v>
      </c>
      <c r="F7" s="25" t="n">
        <f aca="false">AVERAGE(Demand_History!F4:F6)</f>
        <v>424.333333333333</v>
      </c>
      <c r="G7" s="25" t="n">
        <f aca="false">AVERAGE(Demand_History!G4:G6)</f>
        <v>447.666666666667</v>
      </c>
      <c r="H7" s="25" t="n">
        <f aca="false">AVERAGE(Demand_History!H4:H6)</f>
        <v>276.333333333333</v>
      </c>
      <c r="I7" s="25" t="n">
        <f aca="false">AVERAGE(Demand_History!I4:I6)</f>
        <v>126</v>
      </c>
      <c r="J7" s="25" t="n">
        <f aca="false">AVERAGE(Demand_History!J4:J6)</f>
        <v>298.333333333333</v>
      </c>
      <c r="K7" s="25" t="n">
        <f aca="false">AVERAGE(Demand_History!K4:K6)</f>
        <v>629.666666666667</v>
      </c>
      <c r="L7" s="23" t="n">
        <f aca="false">SUM(B7:K7)</f>
        <v>6577.66666666667</v>
      </c>
      <c r="M7" s="25" t="n">
        <f aca="false">Demand_History!L7</f>
        <v>5768</v>
      </c>
    </row>
    <row r="8" customFormat="false" ht="15" hidden="false" customHeight="false" outlineLevel="0" collapsed="false">
      <c r="A8" s="24" t="n">
        <f aca="false">Demand_History!A8</f>
        <v>45748</v>
      </c>
      <c r="B8" s="25" t="n">
        <f aca="false">AVERAGE(Demand_History!B5:B7)</f>
        <v>1568.66666666667</v>
      </c>
      <c r="C8" s="25" t="n">
        <f aca="false">AVERAGE(Demand_History!C5:C7)</f>
        <v>721.333333333333</v>
      </c>
      <c r="D8" s="25" t="n">
        <f aca="false">AVERAGE(Demand_History!D5:D7)</f>
        <v>819</v>
      </c>
      <c r="E8" s="25" t="n">
        <f aca="false">AVERAGE(Demand_History!E5:E7)</f>
        <v>491.333333333333</v>
      </c>
      <c r="F8" s="25" t="n">
        <f aca="false">AVERAGE(Demand_History!F5:F7)</f>
        <v>386.333333333333</v>
      </c>
      <c r="G8" s="25" t="n">
        <f aca="false">AVERAGE(Demand_History!G5:G7)</f>
        <v>398.666666666667</v>
      </c>
      <c r="H8" s="25" t="n">
        <f aca="false">AVERAGE(Demand_History!H5:H7)</f>
        <v>251.666666666667</v>
      </c>
      <c r="I8" s="25" t="n">
        <f aca="false">AVERAGE(Demand_History!I5:I7)</f>
        <v>107</v>
      </c>
      <c r="J8" s="25" t="n">
        <f aca="false">AVERAGE(Demand_History!J5:J7)</f>
        <v>276.666666666667</v>
      </c>
      <c r="K8" s="25" t="n">
        <f aca="false">AVERAGE(Demand_History!K5:K7)</f>
        <v>557.666666666667</v>
      </c>
      <c r="L8" s="23" t="n">
        <f aca="false">SUM(B8:K8)</f>
        <v>5578.33333333333</v>
      </c>
      <c r="M8" s="25" t="n">
        <f aca="false">Demand_History!L8</f>
        <v>6464</v>
      </c>
    </row>
    <row r="9" customFormat="false" ht="15" hidden="false" customHeight="false" outlineLevel="0" collapsed="false">
      <c r="A9" s="24" t="n">
        <f aca="false">Demand_History!A9</f>
        <v>45778</v>
      </c>
      <c r="B9" s="25" t="n">
        <f aca="false">AVERAGE(Demand_History!B6:B8)</f>
        <v>1563</v>
      </c>
      <c r="C9" s="25" t="n">
        <f aca="false">AVERAGE(Demand_History!C6:C8)</f>
        <v>818.666666666667</v>
      </c>
      <c r="D9" s="25" t="n">
        <f aca="false">AVERAGE(Demand_History!D6:D8)</f>
        <v>798.333333333333</v>
      </c>
      <c r="E9" s="25" t="n">
        <f aca="false">AVERAGE(Demand_History!E6:E8)</f>
        <v>504.666666666667</v>
      </c>
      <c r="F9" s="25" t="n">
        <f aca="false">AVERAGE(Demand_History!F6:F8)</f>
        <v>410.666666666667</v>
      </c>
      <c r="G9" s="25" t="n">
        <f aca="false">AVERAGE(Demand_History!G6:G8)</f>
        <v>413.666666666667</v>
      </c>
      <c r="H9" s="25" t="n">
        <f aca="false">AVERAGE(Demand_History!H6:H8)</f>
        <v>258</v>
      </c>
      <c r="I9" s="25" t="n">
        <f aca="false">AVERAGE(Demand_History!I6:I8)</f>
        <v>98.6666666666667</v>
      </c>
      <c r="J9" s="25" t="n">
        <f aca="false">AVERAGE(Demand_History!J6:J8)</f>
        <v>300</v>
      </c>
      <c r="K9" s="25" t="n">
        <f aca="false">AVERAGE(Demand_History!K6:K8)</f>
        <v>599.333333333333</v>
      </c>
      <c r="L9" s="23" t="n">
        <f aca="false">SUM(B9:K9)</f>
        <v>5765</v>
      </c>
      <c r="M9" s="25" t="n">
        <f aca="false">Demand_History!L9</f>
        <v>5926</v>
      </c>
    </row>
    <row r="10" customFormat="false" ht="15" hidden="false" customHeight="false" outlineLevel="0" collapsed="false">
      <c r="A10" s="24" t="n">
        <f aca="false">Demand_History!A10</f>
        <v>45809</v>
      </c>
      <c r="B10" s="25" t="n">
        <f aca="false">AVERAGE(Demand_History!B7:B9)</f>
        <v>1751.66666666667</v>
      </c>
      <c r="C10" s="25" t="n">
        <f aca="false">AVERAGE(Demand_History!C7:C9)</f>
        <v>816</v>
      </c>
      <c r="D10" s="25" t="n">
        <f aca="false">AVERAGE(Demand_History!D7:D9)</f>
        <v>867.666666666667</v>
      </c>
      <c r="E10" s="25" t="n">
        <f aca="false">AVERAGE(Demand_History!E7:E9)</f>
        <v>529.333333333333</v>
      </c>
      <c r="F10" s="25" t="n">
        <f aca="false">AVERAGE(Demand_History!F7:F9)</f>
        <v>459.333333333333</v>
      </c>
      <c r="G10" s="25" t="n">
        <f aca="false">AVERAGE(Demand_History!G7:G9)</f>
        <v>376.666666666667</v>
      </c>
      <c r="H10" s="25" t="n">
        <f aca="false">AVERAGE(Demand_History!H7:H9)</f>
        <v>246.333333333333</v>
      </c>
      <c r="I10" s="25" t="n">
        <f aca="false">AVERAGE(Demand_History!I7:I9)</f>
        <v>108</v>
      </c>
      <c r="J10" s="25" t="n">
        <f aca="false">AVERAGE(Demand_History!J7:J9)</f>
        <v>299.666666666667</v>
      </c>
      <c r="K10" s="25" t="n">
        <f aca="false">AVERAGE(Demand_History!K7:K9)</f>
        <v>598</v>
      </c>
      <c r="L10" s="23" t="n">
        <f aca="false">SUM(B10:K10)</f>
        <v>6052.66666666667</v>
      </c>
      <c r="M10" s="25" t="n">
        <f aca="false">Demand_History!L10</f>
        <v>6084</v>
      </c>
    </row>
    <row r="11" customFormat="false" ht="15" hidden="false" customHeight="false" outlineLevel="0" collapsed="false">
      <c r="A11" s="24" t="n">
        <f aca="false">Demand_History!A11</f>
        <v>45839</v>
      </c>
      <c r="B11" s="25" t="n">
        <f aca="false">AVERAGE(Demand_History!B8:B10)</f>
        <v>1881.66666666667</v>
      </c>
      <c r="C11" s="25" t="n">
        <f aca="false">AVERAGE(Demand_History!C8:C10)</f>
        <v>789.666666666667</v>
      </c>
      <c r="D11" s="25" t="n">
        <f aca="false">AVERAGE(Demand_History!D8:D10)</f>
        <v>887.666666666667</v>
      </c>
      <c r="E11" s="25" t="n">
        <f aca="false">AVERAGE(Demand_History!E8:E10)</f>
        <v>548.333333333333</v>
      </c>
      <c r="F11" s="25" t="n">
        <f aca="false">AVERAGE(Demand_History!F8:F10)</f>
        <v>406.666666666667</v>
      </c>
      <c r="G11" s="25" t="n">
        <f aca="false">AVERAGE(Demand_History!G8:G10)</f>
        <v>357.333333333333</v>
      </c>
      <c r="H11" s="25" t="n">
        <f aca="false">AVERAGE(Demand_History!H8:H10)</f>
        <v>230.666666666667</v>
      </c>
      <c r="I11" s="25" t="n">
        <f aca="false">AVERAGE(Demand_History!I8:I10)</f>
        <v>130.333333333333</v>
      </c>
      <c r="J11" s="25" t="n">
        <f aca="false">AVERAGE(Demand_History!J8:J10)</f>
        <v>319.666666666667</v>
      </c>
      <c r="K11" s="25" t="n">
        <f aca="false">AVERAGE(Demand_History!K8:K10)</f>
        <v>606</v>
      </c>
      <c r="L11" s="23" t="n">
        <f aca="false">SUM(B11:K11)</f>
        <v>6158</v>
      </c>
      <c r="M11" s="25" t="n">
        <f aca="false">Demand_History!L11</f>
        <v>6116</v>
      </c>
    </row>
    <row r="12" customFormat="false" ht="15" hidden="false" customHeight="false" outlineLevel="0" collapsed="false">
      <c r="A12" s="24" t="n">
        <f aca="false">Demand_History!A12</f>
        <v>45870</v>
      </c>
      <c r="B12" s="25" t="n">
        <f aca="false">AVERAGE(Demand_History!B9:B11)</f>
        <v>1825.66666666667</v>
      </c>
      <c r="C12" s="25" t="n">
        <f aca="false">AVERAGE(Demand_History!C9:C11)</f>
        <v>668</v>
      </c>
      <c r="D12" s="25" t="n">
        <f aca="false">AVERAGE(Demand_History!D9:D11)</f>
        <v>984</v>
      </c>
      <c r="E12" s="25" t="n">
        <f aca="false">AVERAGE(Demand_History!E9:E11)</f>
        <v>517.666666666667</v>
      </c>
      <c r="F12" s="25" t="n">
        <f aca="false">AVERAGE(Demand_History!F9:F11)</f>
        <v>414.666666666667</v>
      </c>
      <c r="G12" s="25" t="n">
        <f aca="false">AVERAGE(Demand_History!G9:G11)</f>
        <v>297.333333333333</v>
      </c>
      <c r="H12" s="25" t="n">
        <f aca="false">AVERAGE(Demand_History!H9:H11)</f>
        <v>229.333333333333</v>
      </c>
      <c r="I12" s="25" t="n">
        <f aca="false">AVERAGE(Demand_History!I9:I11)</f>
        <v>141.666666666667</v>
      </c>
      <c r="J12" s="25" t="n">
        <f aca="false">AVERAGE(Demand_History!J9:J11)</f>
        <v>349.666666666667</v>
      </c>
      <c r="K12" s="25" t="n">
        <f aca="false">AVERAGE(Demand_History!K9:K11)</f>
        <v>614</v>
      </c>
      <c r="L12" s="23" t="n">
        <f aca="false">SUM(B12:K12)</f>
        <v>6042</v>
      </c>
      <c r="M12" s="25" t="n">
        <f aca="false">Demand_History!L12</f>
        <v>6816</v>
      </c>
    </row>
    <row r="13" customFormat="false" ht="15" hidden="false" customHeight="false" outlineLevel="0" collapsed="false">
      <c r="A13" s="24" t="n">
        <f aca="false">Demand_History!A13</f>
        <v>45901</v>
      </c>
      <c r="B13" s="25" t="n">
        <f aca="false">AVERAGE(Demand_History!B10:B12)</f>
        <v>1939.33333333333</v>
      </c>
      <c r="C13" s="25" t="n">
        <f aca="false">AVERAGE(Demand_History!C10:C12)</f>
        <v>722.333333333333</v>
      </c>
      <c r="D13" s="25" t="n">
        <f aca="false">AVERAGE(Demand_History!D10:D12)</f>
        <v>982.333333333333</v>
      </c>
      <c r="E13" s="25" t="n">
        <f aca="false">AVERAGE(Demand_History!E10:E12)</f>
        <v>521</v>
      </c>
      <c r="F13" s="25" t="n">
        <f aca="false">AVERAGE(Demand_History!F10:F12)</f>
        <v>370</v>
      </c>
      <c r="G13" s="25" t="n">
        <f aca="false">AVERAGE(Demand_History!G10:G12)</f>
        <v>322.666666666667</v>
      </c>
      <c r="H13" s="25" t="n">
        <f aca="false">AVERAGE(Demand_History!H10:H12)</f>
        <v>243.333333333333</v>
      </c>
      <c r="I13" s="25" t="n">
        <f aca="false">AVERAGE(Demand_History!I10:I12)</f>
        <v>141</v>
      </c>
      <c r="J13" s="25" t="n">
        <f aca="false">AVERAGE(Demand_History!J10:J12)</f>
        <v>358</v>
      </c>
      <c r="K13" s="25" t="n">
        <f aca="false">AVERAGE(Demand_History!K10:K12)</f>
        <v>738.666666666667</v>
      </c>
      <c r="L13" s="23" t="n">
        <f aca="false">SUM(B13:K13)</f>
        <v>6338.66666666667</v>
      </c>
      <c r="M13" s="25" t="n">
        <f aca="false">Demand_History!L13</f>
        <v>7418</v>
      </c>
    </row>
    <row r="14" customFormat="false" ht="15" hidden="false" customHeight="false" outlineLevel="0" collapsed="false">
      <c r="A14" s="24" t="n">
        <f aca="false">Demand_History!A14</f>
        <v>45931</v>
      </c>
      <c r="B14" s="25" t="n">
        <f aca="false">AVERAGE(Demand_History!B11:B13)</f>
        <v>2058</v>
      </c>
      <c r="C14" s="25" t="n">
        <f aca="false">AVERAGE(Demand_History!C11:C13)</f>
        <v>820.333333333333</v>
      </c>
      <c r="D14" s="25" t="n">
        <f aca="false">AVERAGE(Demand_History!D11:D13)</f>
        <v>1067.66666666667</v>
      </c>
      <c r="E14" s="25" t="n">
        <f aca="false">AVERAGE(Demand_History!E11:E13)</f>
        <v>511</v>
      </c>
      <c r="F14" s="25" t="n">
        <f aca="false">AVERAGE(Demand_History!F11:F13)</f>
        <v>397.666666666667</v>
      </c>
      <c r="G14" s="25" t="n">
        <f aca="false">AVERAGE(Demand_History!G11:G13)</f>
        <v>309.666666666667</v>
      </c>
      <c r="H14" s="25" t="n">
        <f aca="false">AVERAGE(Demand_History!H11:H13)</f>
        <v>291.666666666667</v>
      </c>
      <c r="I14" s="25" t="n">
        <f aca="false">AVERAGE(Demand_History!I11:I13)</f>
        <v>135.333333333333</v>
      </c>
      <c r="J14" s="25" t="n">
        <f aca="false">AVERAGE(Demand_History!J11:J13)</f>
        <v>373.666666666667</v>
      </c>
      <c r="K14" s="25" t="n">
        <f aca="false">AVERAGE(Demand_History!K11:K13)</f>
        <v>818.333333333333</v>
      </c>
      <c r="L14" s="23" t="n">
        <f aca="false">SUM(B14:K14)</f>
        <v>6783.33333333333</v>
      </c>
      <c r="M14" s="25" t="n">
        <f aca="false">Demand_History!L14</f>
        <v>6779</v>
      </c>
    </row>
    <row r="15" customFormat="false" ht="15" hidden="false" customHeight="false" outlineLevel="0" collapsed="false">
      <c r="A15" s="24" t="n">
        <f aca="false">Demand_History!A15</f>
        <v>45962</v>
      </c>
      <c r="B15" s="25" t="n">
        <f aca="false">AVERAGE(Demand_History!B12:B14)</f>
        <v>2222.66666666667</v>
      </c>
      <c r="C15" s="25" t="n">
        <f aca="false">AVERAGE(Demand_History!C12:C14)</f>
        <v>887</v>
      </c>
      <c r="D15" s="25" t="n">
        <f aca="false">AVERAGE(Demand_History!D12:D14)</f>
        <v>961.666666666667</v>
      </c>
      <c r="E15" s="25" t="n">
        <f aca="false">AVERAGE(Demand_History!E12:E14)</f>
        <v>517</v>
      </c>
      <c r="F15" s="25" t="n">
        <f aca="false">AVERAGE(Demand_History!F12:F14)</f>
        <v>451.666666666667</v>
      </c>
      <c r="G15" s="25" t="n">
        <f aca="false">AVERAGE(Demand_History!G12:G14)</f>
        <v>372.666666666667</v>
      </c>
      <c r="H15" s="25" t="n">
        <f aca="false">AVERAGE(Demand_History!H12:H14)</f>
        <v>312</v>
      </c>
      <c r="I15" s="25" t="n">
        <f aca="false">AVERAGE(Demand_History!I12:I14)</f>
        <v>151</v>
      </c>
      <c r="J15" s="25" t="n">
        <f aca="false">AVERAGE(Demand_History!J12:J14)</f>
        <v>317.333333333333</v>
      </c>
      <c r="K15" s="25" t="n">
        <f aca="false">AVERAGE(Demand_History!K12:K14)</f>
        <v>811.333333333333</v>
      </c>
      <c r="L15" s="23" t="n">
        <f aca="false">SUM(B15:K15)</f>
        <v>7004.33333333333</v>
      </c>
      <c r="M15" s="25" t="n">
        <f aca="false">Demand_History!L15</f>
        <v>8738</v>
      </c>
    </row>
    <row r="16" customFormat="false" ht="15" hidden="false" customHeight="false" outlineLevel="0" collapsed="false">
      <c r="A16" s="24" t="n">
        <f aca="false">Demand_History!A16</f>
        <v>45992</v>
      </c>
      <c r="B16" s="25" t="n">
        <f aca="false">AVERAGE(Demand_History!B13:B15)</f>
        <v>2497.66666666667</v>
      </c>
      <c r="C16" s="25" t="n">
        <f aca="false">AVERAGE(Demand_History!C13:C15)</f>
        <v>893.666666666667</v>
      </c>
      <c r="D16" s="25" t="n">
        <f aca="false">AVERAGE(Demand_History!D13:D15)</f>
        <v>1093.33333333333</v>
      </c>
      <c r="E16" s="25" t="n">
        <f aca="false">AVERAGE(Demand_History!E13:E15)</f>
        <v>609.333333333333</v>
      </c>
      <c r="F16" s="25" t="n">
        <f aca="false">AVERAGE(Demand_History!F13:F15)</f>
        <v>461.333333333333</v>
      </c>
      <c r="G16" s="25" t="n">
        <f aca="false">AVERAGE(Demand_History!G13:G15)</f>
        <v>419.333333333333</v>
      </c>
      <c r="H16" s="25" t="n">
        <f aca="false">AVERAGE(Demand_History!H13:H15)</f>
        <v>359.666666666667</v>
      </c>
      <c r="I16" s="25" t="n">
        <f aca="false">AVERAGE(Demand_History!I13:I15)</f>
        <v>169</v>
      </c>
      <c r="J16" s="25" t="n">
        <f aca="false">AVERAGE(Demand_History!J13:J15)</f>
        <v>351.666666666667</v>
      </c>
      <c r="K16" s="25" t="n">
        <f aca="false">AVERAGE(Demand_History!K13:K15)</f>
        <v>790</v>
      </c>
      <c r="L16" s="23" t="n">
        <f aca="false">SUM(B16:K16)</f>
        <v>7645</v>
      </c>
      <c r="M16" s="25" t="n">
        <f aca="false">Demand_History!L16</f>
        <v>9044</v>
      </c>
    </row>
    <row r="17" customFormat="false" ht="15" hidden="false" customHeight="false" outlineLevel="0" collapsed="false">
      <c r="A17" s="24" t="n">
        <f aca="false">Demand_History!A17</f>
        <v>46023</v>
      </c>
      <c r="B17" s="25" t="n">
        <f aca="false">AVERAGE(Demand_History!B14:B16)</f>
        <v>2763.33333333333</v>
      </c>
      <c r="C17" s="25" t="n">
        <f aca="false">AVERAGE(Demand_History!C14:C16)</f>
        <v>890.666666666667</v>
      </c>
      <c r="D17" s="25" t="n">
        <f aca="false">AVERAGE(Demand_History!D14:D16)</f>
        <v>1195.66666666667</v>
      </c>
      <c r="E17" s="25" t="n">
        <f aca="false">AVERAGE(Demand_History!E14:E16)</f>
        <v>677.666666666667</v>
      </c>
      <c r="F17" s="25" t="n">
        <f aca="false">AVERAGE(Demand_History!F14:F16)</f>
        <v>552</v>
      </c>
      <c r="G17" s="25" t="n">
        <f aca="false">AVERAGE(Demand_History!G14:G16)</f>
        <v>453</v>
      </c>
      <c r="H17" s="25" t="n">
        <f aca="false">AVERAGE(Demand_History!H14:H16)</f>
        <v>367.333333333333</v>
      </c>
      <c r="I17" s="25" t="n">
        <f aca="false">AVERAGE(Demand_History!I14:I16)</f>
        <v>180.666666666667</v>
      </c>
      <c r="J17" s="25" t="n">
        <f aca="false">AVERAGE(Demand_History!J14:J16)</f>
        <v>360</v>
      </c>
      <c r="K17" s="25" t="n">
        <f aca="false">AVERAGE(Demand_History!K14:K16)</f>
        <v>746.666666666667</v>
      </c>
      <c r="L17" s="23" t="n">
        <f aca="false">SUM(B17:K17)</f>
        <v>8187</v>
      </c>
      <c r="M17" s="25" t="n">
        <f aca="false">Demand_History!L17</f>
        <v>6084</v>
      </c>
    </row>
    <row r="18" customFormat="false" ht="15" hidden="false" customHeight="false" outlineLevel="0" collapsed="false">
      <c r="A18" s="24" t="n">
        <f aca="false">Demand_History!A18</f>
        <v>46054</v>
      </c>
      <c r="B18" s="25" t="n">
        <f aca="false">AVERAGE(Demand_History!B15:B17)</f>
        <v>2602</v>
      </c>
      <c r="C18" s="25" t="n">
        <f aca="false">AVERAGE(Demand_History!C15:C17)</f>
        <v>891</v>
      </c>
      <c r="D18" s="25" t="n">
        <f aca="false">AVERAGE(Demand_History!D15:D17)</f>
        <v>1263.33333333333</v>
      </c>
      <c r="E18" s="25" t="n">
        <f aca="false">AVERAGE(Demand_History!E15:E17)</f>
        <v>692</v>
      </c>
      <c r="F18" s="25" t="n">
        <f aca="false">AVERAGE(Demand_History!F15:F17)</f>
        <v>511.666666666667</v>
      </c>
      <c r="G18" s="25" t="n">
        <f aca="false">AVERAGE(Demand_History!G15:G17)</f>
        <v>388</v>
      </c>
      <c r="H18" s="25" t="n">
        <f aca="false">AVERAGE(Demand_History!H15:H17)</f>
        <v>339.666666666667</v>
      </c>
      <c r="I18" s="25" t="n">
        <f aca="false">AVERAGE(Demand_History!I15:I17)</f>
        <v>172</v>
      </c>
      <c r="J18" s="25" t="n">
        <f aca="false">AVERAGE(Demand_History!J15:J17)</f>
        <v>366.666666666667</v>
      </c>
      <c r="K18" s="25" t="n">
        <f aca="false">AVERAGE(Demand_History!K15:K17)</f>
        <v>729</v>
      </c>
      <c r="L18" s="23" t="n">
        <f aca="false">SUM(B18:K18)</f>
        <v>7955.33333333333</v>
      </c>
      <c r="M18" s="25" t="n">
        <f aca="false">Demand_History!L18</f>
        <v>6498</v>
      </c>
    </row>
    <row r="19" customFormat="false" ht="15" hidden="false" customHeight="false" outlineLevel="0" collapsed="false">
      <c r="A19" s="24" t="n">
        <f aca="false">Demand_History!A19</f>
        <v>46082</v>
      </c>
      <c r="B19" s="25" t="n">
        <f aca="false">AVERAGE(Demand_History!B16:B18)</f>
        <v>2255.66666666667</v>
      </c>
      <c r="C19" s="25" t="n">
        <f aca="false">AVERAGE(Demand_History!C16:C18)</f>
        <v>877.333333333333</v>
      </c>
      <c r="D19" s="25" t="n">
        <f aca="false">AVERAGE(Demand_History!D16:D18)</f>
        <v>1188.33333333333</v>
      </c>
      <c r="E19" s="25" t="n">
        <f aca="false">AVERAGE(Demand_History!E16:E18)</f>
        <v>615.666666666667</v>
      </c>
      <c r="F19" s="25" t="n">
        <f aca="false">AVERAGE(Demand_History!F16:F18)</f>
        <v>506.666666666667</v>
      </c>
      <c r="G19" s="25" t="n">
        <f aca="false">AVERAGE(Demand_History!G16:G18)</f>
        <v>355.333333333333</v>
      </c>
      <c r="H19" s="25" t="n">
        <f aca="false">AVERAGE(Demand_History!H16:H18)</f>
        <v>277.666666666667</v>
      </c>
      <c r="I19" s="25" t="n">
        <f aca="false">AVERAGE(Demand_History!I16:I18)</f>
        <v>156</v>
      </c>
      <c r="J19" s="25" t="n">
        <f aca="false">AVERAGE(Demand_History!J16:J18)</f>
        <v>309</v>
      </c>
      <c r="K19" s="25" t="n">
        <f aca="false">AVERAGE(Demand_History!K16:K18)</f>
        <v>667</v>
      </c>
      <c r="L19" s="23" t="n">
        <f aca="false">SUM(B19:K19)</f>
        <v>7208.66666666667</v>
      </c>
      <c r="M19" s="25" t="n">
        <f aca="false">Demand_History!L19</f>
        <v>6710</v>
      </c>
    </row>
    <row r="20" customFormat="false" ht="15" hidden="false" customHeight="false" outlineLevel="0" collapsed="false">
      <c r="A20" s="24" t="n">
        <f aca="false">Demand_History!A20</f>
        <v>46113</v>
      </c>
      <c r="B20" s="25" t="n">
        <f aca="false">AVERAGE(Demand_History!B17:B19)</f>
        <v>1833.33333333333</v>
      </c>
      <c r="C20" s="25" t="n">
        <f aca="false">AVERAGE(Demand_History!C17:C19)</f>
        <v>846</v>
      </c>
      <c r="D20" s="25" t="n">
        <f aca="false">AVERAGE(Demand_History!D17:D19)</f>
        <v>1069.66666666667</v>
      </c>
      <c r="E20" s="25" t="n">
        <f aca="false">AVERAGE(Demand_History!E17:E19)</f>
        <v>568.666666666667</v>
      </c>
      <c r="F20" s="25" t="n">
        <f aca="false">AVERAGE(Demand_History!F17:F19)</f>
        <v>380</v>
      </c>
      <c r="G20" s="25" t="n">
        <f aca="false">AVERAGE(Demand_History!G17:G19)</f>
        <v>383.666666666667</v>
      </c>
      <c r="H20" s="25" t="n">
        <f aca="false">AVERAGE(Demand_History!H17:H19)</f>
        <v>237.333333333333</v>
      </c>
      <c r="I20" s="25" t="n">
        <f aca="false">AVERAGE(Demand_History!I17:I19)</f>
        <v>152.666666666667</v>
      </c>
      <c r="J20" s="25" t="n">
        <f aca="false">AVERAGE(Demand_History!J17:J19)</f>
        <v>278</v>
      </c>
      <c r="K20" s="25" t="n">
        <f aca="false">AVERAGE(Demand_History!K17:K19)</f>
        <v>681.333333333333</v>
      </c>
      <c r="L20" s="23" t="n">
        <f aca="false">SUM(B20:K20)</f>
        <v>6430.66666666667</v>
      </c>
      <c r="M20" s="25" t="n">
        <f aca="false">Demand_History!L20</f>
        <v>7253</v>
      </c>
    </row>
    <row r="21" customFormat="false" ht="15" hidden="false" customHeight="false" outlineLevel="0" collapsed="false">
      <c r="A21" s="24" t="n">
        <f aca="false">Demand_History!A21</f>
        <v>46143</v>
      </c>
      <c r="B21" s="25" t="n">
        <f aca="false">AVERAGE(Demand_History!B18:B20)</f>
        <v>2028.33333333333</v>
      </c>
      <c r="C21" s="25" t="n">
        <f aca="false">AVERAGE(Demand_History!C18:C20)</f>
        <v>806</v>
      </c>
      <c r="D21" s="25" t="n">
        <f aca="false">AVERAGE(Demand_History!D18:D20)</f>
        <v>1054</v>
      </c>
      <c r="E21" s="25" t="n">
        <f aca="false">AVERAGE(Demand_History!E18:E20)</f>
        <v>604.333333333333</v>
      </c>
      <c r="F21" s="25" t="n">
        <f aca="false">AVERAGE(Demand_History!F18:F20)</f>
        <v>387.666666666667</v>
      </c>
      <c r="G21" s="25" t="n">
        <f aca="false">AVERAGE(Demand_History!G18:G20)</f>
        <v>481.666666666667</v>
      </c>
      <c r="H21" s="25" t="n">
        <f aca="false">AVERAGE(Demand_History!H18:H20)</f>
        <v>285.333333333333</v>
      </c>
      <c r="I21" s="25" t="n">
        <f aca="false">AVERAGE(Demand_History!I18:I20)</f>
        <v>150</v>
      </c>
      <c r="J21" s="25" t="n">
        <f aca="false">AVERAGE(Demand_History!J18:J20)</f>
        <v>329.666666666667</v>
      </c>
      <c r="K21" s="25" t="n">
        <f aca="false">AVERAGE(Demand_History!K18:K20)</f>
        <v>693.333333333333</v>
      </c>
      <c r="L21" s="23" t="n">
        <f aca="false">SUM(B21:K21)</f>
        <v>6820.33333333333</v>
      </c>
      <c r="M21" s="25" t="n">
        <f aca="false">Demand_History!L21</f>
        <v>7096</v>
      </c>
    </row>
    <row r="22" customFormat="false" ht="15" hidden="false" customHeight="false" outlineLevel="0" collapsed="false">
      <c r="A22" s="24" t="n">
        <f aca="false">Demand_History!A22</f>
        <v>46174</v>
      </c>
      <c r="B22" s="25" t="n">
        <f aca="false">AVERAGE(Demand_History!B19:B21)</f>
        <v>2087.66666666667</v>
      </c>
      <c r="C22" s="25" t="n">
        <f aca="false">AVERAGE(Demand_History!C19:C21)</f>
        <v>820.333333333333</v>
      </c>
      <c r="D22" s="25" t="n">
        <f aca="false">AVERAGE(Demand_History!D19:D21)</f>
        <v>1045</v>
      </c>
      <c r="E22" s="25" t="n">
        <f aca="false">AVERAGE(Demand_History!E19:E21)</f>
        <v>613.333333333333</v>
      </c>
      <c r="F22" s="25" t="n">
        <f aca="false">AVERAGE(Demand_History!F19:F21)</f>
        <v>407.666666666667</v>
      </c>
      <c r="G22" s="25" t="n">
        <f aca="false">AVERAGE(Demand_History!G19:G21)</f>
        <v>581.333333333333</v>
      </c>
      <c r="H22" s="25" t="n">
        <f aca="false">AVERAGE(Demand_History!H19:H21)</f>
        <v>298.333333333333</v>
      </c>
      <c r="I22" s="25" t="n">
        <f aca="false">AVERAGE(Demand_History!I19:I21)</f>
        <v>143</v>
      </c>
      <c r="J22" s="25" t="n">
        <f aca="false">AVERAGE(Demand_History!J19:J21)</f>
        <v>332.666666666667</v>
      </c>
      <c r="K22" s="25" t="n">
        <f aca="false">AVERAGE(Demand_History!K19:K21)</f>
        <v>690.333333333333</v>
      </c>
      <c r="L22" s="23" t="n">
        <f aca="false">SUM(B22:K22)</f>
        <v>7019.66666666667</v>
      </c>
      <c r="M22" s="25" t="n">
        <f aca="false">Demand_History!L22</f>
        <v>6969</v>
      </c>
    </row>
    <row r="23" customFormat="false" ht="15" hidden="false" customHeight="false" outlineLevel="0" collapsed="false">
      <c r="A23" s="24" t="n">
        <f aca="false">Demand_History!A23</f>
        <v>46204</v>
      </c>
      <c r="B23" s="25" t="n">
        <f aca="false">AVERAGE(Demand_History!B20:B22)</f>
        <v>2192</v>
      </c>
      <c r="C23" s="25" t="n">
        <f aca="false">AVERAGE(Demand_History!C20:C22)</f>
        <v>817</v>
      </c>
      <c r="D23" s="25" t="n">
        <f aca="false">AVERAGE(Demand_History!D20:D22)</f>
        <v>1071.66666666667</v>
      </c>
      <c r="E23" s="25" t="n">
        <f aca="false">AVERAGE(Demand_History!E20:E22)</f>
        <v>598</v>
      </c>
      <c r="F23" s="25" t="n">
        <f aca="false">AVERAGE(Demand_History!F20:F22)</f>
        <v>468</v>
      </c>
      <c r="G23" s="25" t="n">
        <f aca="false">AVERAGE(Demand_History!G20:G22)</f>
        <v>578.333333333333</v>
      </c>
      <c r="H23" s="25" t="n">
        <f aca="false">AVERAGE(Demand_History!H20:H22)</f>
        <v>324</v>
      </c>
      <c r="I23" s="25" t="n">
        <f aca="false">AVERAGE(Demand_History!I20:I22)</f>
        <v>123</v>
      </c>
      <c r="J23" s="25" t="n">
        <f aca="false">AVERAGE(Demand_History!J20:J22)</f>
        <v>347.333333333333</v>
      </c>
      <c r="K23" s="25" t="n">
        <f aca="false">AVERAGE(Demand_History!K20:K22)</f>
        <v>586.666666666667</v>
      </c>
      <c r="L23" s="23" t="n">
        <f aca="false">SUM(B23:K23)</f>
        <v>7106</v>
      </c>
      <c r="M23" s="25" t="n">
        <f aca="false">Demand_History!L23</f>
        <v>6765</v>
      </c>
    </row>
    <row r="24" customFormat="false" ht="15" hidden="false" customHeight="false" outlineLevel="0" collapsed="false">
      <c r="A24" s="24" t="n">
        <f aca="false">Demand_History!A24</f>
        <v>46235</v>
      </c>
      <c r="B24" s="25" t="n">
        <f aca="false">AVERAGE(Demand_History!B21:B23)</f>
        <v>2081</v>
      </c>
      <c r="C24" s="25" t="n">
        <f aca="false">AVERAGE(Demand_History!C21:C23)</f>
        <v>868.666666666667</v>
      </c>
      <c r="D24" s="25" t="n">
        <f aca="false">AVERAGE(Demand_History!D21:D23)</f>
        <v>1089.66666666667</v>
      </c>
      <c r="E24" s="25" t="n">
        <f aca="false">AVERAGE(Demand_History!E21:E23)</f>
        <v>580.666666666667</v>
      </c>
      <c r="F24" s="25" t="n">
        <f aca="false">AVERAGE(Demand_History!F21:F23)</f>
        <v>471</v>
      </c>
      <c r="G24" s="25" t="n">
        <f aca="false">AVERAGE(Demand_History!G21:G23)</f>
        <v>492.666666666667</v>
      </c>
      <c r="H24" s="25" t="n">
        <f aca="false">AVERAGE(Demand_History!H21:H23)</f>
        <v>288.666666666667</v>
      </c>
      <c r="I24" s="25" t="n">
        <f aca="false">AVERAGE(Demand_History!I21:I23)</f>
        <v>136.333333333333</v>
      </c>
      <c r="J24" s="25" t="n">
        <f aca="false">AVERAGE(Demand_History!J21:J23)</f>
        <v>321.333333333333</v>
      </c>
      <c r="K24" s="25" t="n">
        <f aca="false">AVERAGE(Demand_History!K21:K23)</f>
        <v>613.333333333333</v>
      </c>
      <c r="L24" s="23" t="n">
        <f aca="false">SUM(B24:K24)</f>
        <v>6943.33333333333</v>
      </c>
      <c r="M24" s="25" t="n">
        <f aca="false">Demand_History!L24</f>
        <v>7360</v>
      </c>
    </row>
    <row r="25" customFormat="false" ht="15" hidden="false" customHeight="false" outlineLevel="0" collapsed="false">
      <c r="A25" s="24" t="n">
        <f aca="false">Demand_History!A25</f>
        <v>46266</v>
      </c>
      <c r="B25" s="25" t="n">
        <f aca="false">AVERAGE(Demand_History!B22:B24)</f>
        <v>2216.66666666667</v>
      </c>
      <c r="C25" s="25" t="n">
        <f aca="false">AVERAGE(Demand_History!C22:C24)</f>
        <v>911</v>
      </c>
      <c r="D25" s="25" t="n">
        <f aca="false">AVERAGE(Demand_History!D22:D24)</f>
        <v>1057.33333333333</v>
      </c>
      <c r="E25" s="25" t="n">
        <f aca="false">AVERAGE(Demand_History!E22:E24)</f>
        <v>533.666666666667</v>
      </c>
      <c r="F25" s="25" t="n">
        <f aca="false">AVERAGE(Demand_History!F22:F24)</f>
        <v>546</v>
      </c>
      <c r="G25" s="25" t="n">
        <f aca="false">AVERAGE(Demand_History!G22:G24)</f>
        <v>338.333333333333</v>
      </c>
      <c r="H25" s="25" t="n">
        <f aca="false">AVERAGE(Demand_History!H22:H24)</f>
        <v>315</v>
      </c>
      <c r="I25" s="25" t="n">
        <f aca="false">AVERAGE(Demand_History!I22:I24)</f>
        <v>162.333333333333</v>
      </c>
      <c r="J25" s="25" t="n">
        <f aca="false">AVERAGE(Demand_History!J22:J24)</f>
        <v>346.333333333333</v>
      </c>
      <c r="K25" s="25" t="n">
        <f aca="false">AVERAGE(Demand_History!K22:K24)</f>
        <v>604.666666666667</v>
      </c>
      <c r="L25" s="23" t="n">
        <f aca="false">SUM(B25:K25)</f>
        <v>7031.33333333333</v>
      </c>
      <c r="M25" s="25" t="n">
        <f aca="false">Demand_History!L25</f>
        <v>7347</v>
      </c>
    </row>
    <row r="26" customFormat="false" ht="15" hidden="false" customHeight="false" outlineLevel="0" collapsed="false">
      <c r="A26" s="26" t="s">
        <v>77</v>
      </c>
      <c r="B26" s="27" t="n">
        <f aca="false">AVERAGE(Demand_History!B23:B25)</f>
        <v>2277.66666666667</v>
      </c>
      <c r="C26" s="27" t="n">
        <f aca="false">AVERAGE(Demand_History!C23:C25)</f>
        <v>940.333333333333</v>
      </c>
      <c r="D26" s="27" t="n">
        <f aca="false">AVERAGE(Demand_History!D23:D25)</f>
        <v>982.333333333333</v>
      </c>
      <c r="E26" s="27" t="n">
        <f aca="false">AVERAGE(Demand_History!E23:E25)</f>
        <v>514</v>
      </c>
      <c r="F26" s="27" t="n">
        <f aca="false">AVERAGE(Demand_History!F23:F25)</f>
        <v>543.333333333333</v>
      </c>
      <c r="G26" s="27" t="n">
        <f aca="false">AVERAGE(Demand_History!G23:G25)</f>
        <v>346</v>
      </c>
      <c r="H26" s="27" t="n">
        <f aca="false">AVERAGE(Demand_History!H23:H25)</f>
        <v>317.666666666667</v>
      </c>
      <c r="I26" s="27" t="n">
        <f aca="false">AVERAGE(Demand_History!I23:I25)</f>
        <v>176</v>
      </c>
      <c r="J26" s="27" t="n">
        <f aca="false">AVERAGE(Demand_History!J23:J25)</f>
        <v>379</v>
      </c>
      <c r="K26" s="27" t="n">
        <f aca="false">AVERAGE(Demand_History!K23:K25)</f>
        <v>681</v>
      </c>
      <c r="L26" s="27" t="n">
        <f aca="false">SUM(B26:K26)</f>
        <v>7157.33333333333</v>
      </c>
      <c r="M26" s="28"/>
    </row>
    <row r="28" customFormat="false" ht="15" hidden="false" customHeight="false" outlineLevel="0" collapsed="false">
      <c r="A28" s="16" t="s">
        <v>78</v>
      </c>
      <c r="B28" s="29" t="n">
        <f aca="false">SUMPRODUCT(ABS(Demand_History!B5:B25-B5:B25)/Demand_History!B5:B25)/ROWS(B5:B25)</f>
        <v>0.208819665825172</v>
      </c>
      <c r="C28" s="29" t="n">
        <f aca="false">SUMPRODUCT(ABS(Demand_History!C5:C25-C5:C25)/Demand_History!C5:C25)/ROWS(C5:C25)</f>
        <v>0.132753794466095</v>
      </c>
      <c r="D28" s="29" t="n">
        <f aca="false">SUMPRODUCT(ABS(Demand_History!D5:D25-D5:D25)/Demand_History!D5:D25)/ROWS(D5:D25)</f>
        <v>0.171415496792335</v>
      </c>
      <c r="E28" s="29" t="n">
        <f aca="false">SUMPRODUCT(ABS(Demand_History!E5:E25-E5:E25)/Demand_History!E5:E25)/ROWS(E5:E25)</f>
        <v>0.137469417245072</v>
      </c>
      <c r="F28" s="29" t="n">
        <f aca="false">SUMPRODUCT(ABS(Demand_History!F5:F25-F5:F25)/Demand_History!F5:F25)/ROWS(F5:F25)</f>
        <v>0.219472775109733</v>
      </c>
      <c r="G28" s="29" t="n">
        <f aca="false">SUMPRODUCT(ABS(Demand_History!G5:G25-G5:G25)/Demand_History!G5:G25)/ROWS(G5:G25)</f>
        <v>0.305477661797197</v>
      </c>
      <c r="H28" s="29" t="n">
        <f aca="false">SUMPRODUCT(ABS(Demand_History!H5:H25-H5:H25)/Demand_History!H5:H25)/ROWS(H5:H25)</f>
        <v>0.181029851937079</v>
      </c>
      <c r="I28" s="29" t="n">
        <f aca="false">SUMPRODUCT(ABS(Demand_History!I5:I25-I5:I25)/Demand_History!I5:I25)/ROWS(I5:I25)</f>
        <v>0.194391320395695</v>
      </c>
      <c r="J28" s="29" t="n">
        <f aca="false">SUMPRODUCT(ABS(Demand_History!J5:J25-J5:J25)/Demand_History!J5:J25)/ROWS(J5:J25)</f>
        <v>0.202066574672368</v>
      </c>
      <c r="K28" s="29" t="n">
        <f aca="false">SUMPRODUCT(ABS(Demand_History!K5:K25-K5:K25)/Demand_History!K5:K25)/ROWS(K5:K25)</f>
        <v>0.17905715388028</v>
      </c>
      <c r="L28" s="29" t="n">
        <f aca="false">SUMPRODUCT(ABS(Demand_History!L5:L25-L5:L25)/Demand_History!L5:L25)/ROWS(L5:L25)</f>
        <v>0.125202353449818</v>
      </c>
    </row>
    <row r="29" customFormat="false" ht="15" hidden="false" customHeight="false" outlineLevel="0" collapsed="false">
      <c r="A29" s="16" t="s">
        <v>79</v>
      </c>
      <c r="B29" s="30" t="n">
        <f aca="false">SQRT(SUMXMY2(Demand_History!B5:B25,B5:B25)/ROWS(B5:B25))</f>
        <v>487.423954182713</v>
      </c>
      <c r="C29" s="30" t="n">
        <f aca="false">SQRT(SUMXMY2(Demand_History!C5:C25,C5:C25)/ROWS(C5:C25))</f>
        <v>131.523389997377</v>
      </c>
      <c r="D29" s="30" t="n">
        <f aca="false">SQRT(SUMXMY2(Demand_History!D5:D25,D5:D25)/ROWS(D5:D25))</f>
        <v>206.274794886072</v>
      </c>
      <c r="E29" s="30" t="n">
        <f aca="false">SQRT(SUMXMY2(Demand_History!E5:E25,E5:E25)/ROWS(E5:E25))</f>
        <v>105.564819977733</v>
      </c>
      <c r="F29" s="30" t="n">
        <f aca="false">SQRT(SUMXMY2(Demand_History!F5:F25,F5:F25)/ROWS(F5:F25))</f>
        <v>114.499509021382</v>
      </c>
      <c r="G29" s="30" t="n">
        <f aca="false">SQRT(SUMXMY2(Demand_History!G5:G25,G5:G25)/ROWS(G5:G25))</f>
        <v>135.864155622698</v>
      </c>
      <c r="H29" s="30" t="n">
        <f aca="false">SQRT(SUMXMY2(Demand_History!H5:H25,H5:H25)/ROWS(H5:H25))</f>
        <v>66.1539010515527</v>
      </c>
      <c r="I29" s="30" t="n">
        <f aca="false">SQRT(SUMXMY2(Demand_History!I5:I25,I5:I25)/ROWS(I5:I25))</f>
        <v>32.4370778764676</v>
      </c>
      <c r="J29" s="30" t="n">
        <f aca="false">SQRT(SUMXMY2(Demand_History!J5:J25,J5:J25)/ROWS(J5:J25))</f>
        <v>77.9545723092324</v>
      </c>
      <c r="K29" s="30" t="n">
        <f aca="false">SQRT(SUMXMY2(Demand_History!K5:K25,K5:K25)/ROWS(K5:K25))</f>
        <v>143.257048729136</v>
      </c>
      <c r="L29" s="30" t="n">
        <f aca="false">SQRT(SUMXMY2(Demand_History!L5:L25,L5:L25)/ROWS(L5:L25))</f>
        <v>1079.02224994345</v>
      </c>
    </row>
    <row r="31" customFormat="false" ht="15" hidden="false" customHeight="false" outlineLevel="0" collapsed="false">
      <c r="A31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5"/>
    <col collapsed="false" customWidth="true" hidden="false" outlineLevel="0" max="18" min="18" style="0" width="11"/>
    <col collapsed="false" customWidth="true" hidden="false" outlineLevel="0" max="19" min="19" style="0" width="15"/>
    <col collapsed="false" customWidth="true" hidden="false" outlineLevel="0" max="21" min="20" style="0" width="8"/>
  </cols>
  <sheetData>
    <row r="1" customFormat="false" ht="19.7" hidden="false" customHeight="false" outlineLevel="0" collapsed="false">
      <c r="A1" s="9" t="s">
        <v>81</v>
      </c>
    </row>
    <row r="2" customFormat="false" ht="15" hidden="false" customHeight="false" outlineLevel="0" collapsed="false">
      <c r="A2" s="2" t="s">
        <v>82</v>
      </c>
    </row>
    <row r="4" customFormat="false" ht="45.75" hidden="false" customHeight="true" outlineLevel="0" collapsed="false">
      <c r="A4" s="10" t="s">
        <v>83</v>
      </c>
      <c r="B4" s="10" t="s">
        <v>40</v>
      </c>
      <c r="C4" s="10" t="s">
        <v>41</v>
      </c>
      <c r="D4" s="10" t="s">
        <v>42</v>
      </c>
      <c r="E4" s="10" t="s">
        <v>2</v>
      </c>
      <c r="F4" s="10" t="s">
        <v>84</v>
      </c>
      <c r="G4" s="10" t="s">
        <v>85</v>
      </c>
      <c r="H4" s="10" t="s">
        <v>86</v>
      </c>
      <c r="I4" s="10" t="s">
        <v>87</v>
      </c>
      <c r="J4" s="10" t="s">
        <v>43</v>
      </c>
      <c r="K4" s="10" t="s">
        <v>88</v>
      </c>
      <c r="L4" s="10" t="s">
        <v>89</v>
      </c>
      <c r="M4" s="10" t="s">
        <v>90</v>
      </c>
      <c r="N4" s="10" t="s">
        <v>91</v>
      </c>
      <c r="O4" s="10" t="s">
        <v>92</v>
      </c>
      <c r="P4" s="10" t="s">
        <v>93</v>
      </c>
      <c r="Q4" s="10" t="s">
        <v>94</v>
      </c>
      <c r="R4" s="10" t="s">
        <v>95</v>
      </c>
      <c r="S4" s="10" t="s">
        <v>3</v>
      </c>
      <c r="T4" s="10" t="s">
        <v>96</v>
      </c>
      <c r="U4" s="10" t="s">
        <v>97</v>
      </c>
    </row>
    <row r="5" customFormat="false" ht="15" hidden="false" customHeight="false" outlineLevel="0" collapsed="false">
      <c r="A5" s="31" t="str">
        <f aca="false">SKU_Master!A2</f>
        <v>SKU01</v>
      </c>
      <c r="B5" s="31" t="str">
        <f aca="false">SKU_Master!B2</f>
        <v>USB-C Cable 1m</v>
      </c>
      <c r="C5" s="31" t="str">
        <f aca="false">SKU_Master!C2</f>
        <v>Accessories</v>
      </c>
      <c r="D5" s="32" t="n">
        <f aca="false">SKU_Master!D2</f>
        <v>1.2</v>
      </c>
      <c r="E5" s="33" t="n">
        <f aca="false">SUM(Demand_History!B14:B25)</f>
        <v>27199</v>
      </c>
      <c r="F5" s="25" t="n">
        <f aca="false">Forecast!B26</f>
        <v>2277.66666666667</v>
      </c>
      <c r="G5" s="34" t="n">
        <f aca="false">Forecast!B29</f>
        <v>487.423954182713</v>
      </c>
      <c r="H5" s="35" t="n">
        <f aca="false">E5/Assumptions!$B$10</f>
        <v>74.5178082191781</v>
      </c>
      <c r="I5" s="35" t="n">
        <f aca="false">G5/SQRT(Assumptions!$B$9)</f>
        <v>88.9910315914121</v>
      </c>
      <c r="J5" s="31" t="n">
        <f aca="false">SKU_Master!E2</f>
        <v>14</v>
      </c>
      <c r="K5" s="31" t="n">
        <f aca="false">SKU_Master!F2</f>
        <v>2</v>
      </c>
      <c r="L5" s="33" t="n">
        <f aca="false">ROUNDUP(Assumptions!$B$6*SQRT(J5*I5^2+H5^2*K5^2),0)</f>
        <v>601</v>
      </c>
      <c r="M5" s="33" t="n">
        <f aca="false">ROUNDUP(H5*J5+L5,0)</f>
        <v>1645</v>
      </c>
      <c r="N5" s="33" t="n">
        <f aca="false">ROUND(SQRT(2*E5*Assumptions!$B$7/(Assumptions!$B$8*D5)),0)</f>
        <v>4123</v>
      </c>
      <c r="O5" s="36" t="n">
        <f aca="false">E5/N5</f>
        <v>6.59689546446762</v>
      </c>
      <c r="P5" s="25" t="n">
        <f aca="false">SKU_Master!G2</f>
        <v>1340</v>
      </c>
      <c r="Q5" s="37" t="str">
        <f aca="false">IF(P5&lt;=M5,"REORDER NOW","OK")</f>
        <v>REORDER NOW</v>
      </c>
      <c r="R5" s="33" t="n">
        <f aca="false">IF(P5&lt;=M5,M5+N5-P5,0)</f>
        <v>4428</v>
      </c>
      <c r="S5" s="38" t="n">
        <f aca="false">E5*D5</f>
        <v>32638.8</v>
      </c>
      <c r="T5" s="39" t="n">
        <f aca="false">RANK(S5,$S$5:$S$14,0)+COUNTIF($S$5:S5,S5)-1</f>
        <v>8</v>
      </c>
      <c r="U5" s="40" t="str">
        <f aca="false">INDEX(ABC_Analysis!$G$5:$G$14,MATCH(A5,ABC_Analysis!$B$5:$B$14,0))</f>
        <v>B</v>
      </c>
    </row>
    <row r="6" customFormat="false" ht="15" hidden="false" customHeight="false" outlineLevel="0" collapsed="false">
      <c r="A6" s="31" t="str">
        <f aca="false">SKU_Master!A3</f>
        <v>SKU02</v>
      </c>
      <c r="B6" s="31" t="str">
        <f aca="false">SKU_Master!B3</f>
        <v>Wireless Earbuds</v>
      </c>
      <c r="C6" s="31" t="str">
        <f aca="false">SKU_Master!C3</f>
        <v>Audio</v>
      </c>
      <c r="D6" s="32" t="n">
        <f aca="false">SKU_Master!D3</f>
        <v>18</v>
      </c>
      <c r="E6" s="33" t="n">
        <f aca="false">SUM(Demand_History!C14:C25)</f>
        <v>10482</v>
      </c>
      <c r="F6" s="25" t="n">
        <f aca="false">Forecast!C26</f>
        <v>940.333333333333</v>
      </c>
      <c r="G6" s="34" t="n">
        <f aca="false">Forecast!C29</f>
        <v>131.523389997377</v>
      </c>
      <c r="H6" s="35" t="n">
        <f aca="false">E6/Assumptions!$B$10</f>
        <v>28.7178082191781</v>
      </c>
      <c r="I6" s="35" t="n">
        <f aca="false">G6/SQRT(Assumptions!$B$9)</f>
        <v>24.0127758470376</v>
      </c>
      <c r="J6" s="31" t="n">
        <f aca="false">SKU_Master!E3</f>
        <v>30</v>
      </c>
      <c r="K6" s="31" t="n">
        <f aca="false">SKU_Master!F3</f>
        <v>5</v>
      </c>
      <c r="L6" s="33" t="n">
        <f aca="false">ROUNDUP(Assumptions!$B$6*SQRT(J6*I6^2+H6^2*K6^2),0)</f>
        <v>321</v>
      </c>
      <c r="M6" s="33" t="n">
        <f aca="false">ROUNDUP(H6*J6+L6,0)</f>
        <v>1183</v>
      </c>
      <c r="N6" s="33" t="n">
        <f aca="false">ROUND(SQRT(2*E6*Assumptions!$B$7/(Assumptions!$B$8*D6)),0)</f>
        <v>661</v>
      </c>
      <c r="O6" s="36" t="n">
        <f aca="false">E6/N6</f>
        <v>15.857791225416</v>
      </c>
      <c r="P6" s="25" t="n">
        <f aca="false">SKU_Master!G3</f>
        <v>1122</v>
      </c>
      <c r="Q6" s="37" t="str">
        <f aca="false">IF(P6&lt;=M6,"REORDER NOW","OK")</f>
        <v>REORDER NOW</v>
      </c>
      <c r="R6" s="33" t="n">
        <f aca="false">IF(P6&lt;=M6,M6+N6-P6,0)</f>
        <v>722</v>
      </c>
      <c r="S6" s="38" t="n">
        <f aca="false">E6*D6</f>
        <v>188676</v>
      </c>
      <c r="T6" s="39" t="n">
        <f aca="false">RANK(S6,$S$5:$S$14,0)+COUNTIF($S$5:S6,S6)-1</f>
        <v>2</v>
      </c>
      <c r="U6" s="40" t="str">
        <f aca="false">INDEX(ABC_Analysis!$G$5:$G$14,MATCH(A6,ABC_Analysis!$B$5:$B$14,0))</f>
        <v>A</v>
      </c>
    </row>
    <row r="7" customFormat="false" ht="15" hidden="false" customHeight="false" outlineLevel="0" collapsed="false">
      <c r="A7" s="31" t="str">
        <f aca="false">SKU_Master!A4</f>
        <v>SKU03</v>
      </c>
      <c r="B7" s="31" t="str">
        <f aca="false">SKU_Master!B4</f>
        <v>Phone Charger 20W</v>
      </c>
      <c r="C7" s="31" t="str">
        <f aca="false">SKU_Master!C4</f>
        <v>Power</v>
      </c>
      <c r="D7" s="32" t="n">
        <f aca="false">SKU_Master!D4</f>
        <v>4</v>
      </c>
      <c r="E7" s="33" t="n">
        <f aca="false">SUM(Demand_History!D14:D25)</f>
        <v>12958</v>
      </c>
      <c r="F7" s="25" t="n">
        <f aca="false">Forecast!D26</f>
        <v>982.333333333333</v>
      </c>
      <c r="G7" s="34" t="n">
        <f aca="false">Forecast!D29</f>
        <v>206.274794886072</v>
      </c>
      <c r="H7" s="35" t="n">
        <f aca="false">E7/Assumptions!$B$10</f>
        <v>35.5013698630137</v>
      </c>
      <c r="I7" s="35" t="n">
        <f aca="false">G7/SQRT(Assumptions!$B$9)</f>
        <v>37.6604527346176</v>
      </c>
      <c r="J7" s="31" t="n">
        <f aca="false">SKU_Master!E4</f>
        <v>21</v>
      </c>
      <c r="K7" s="31" t="n">
        <f aca="false">SKU_Master!F4</f>
        <v>3</v>
      </c>
      <c r="L7" s="33" t="n">
        <f aca="false">ROUNDUP(Assumptions!$B$6*SQRT(J7*I7^2+H7^2*K7^2),0)</f>
        <v>334</v>
      </c>
      <c r="M7" s="33" t="n">
        <f aca="false">ROUNDUP(H7*J7+L7,0)</f>
        <v>1080</v>
      </c>
      <c r="N7" s="33" t="n">
        <f aca="false">ROUND(SQRT(2*E7*Assumptions!$B$7/(Assumptions!$B$8*D7)),0)</f>
        <v>1559</v>
      </c>
      <c r="O7" s="36" t="n">
        <f aca="false">E7/N7</f>
        <v>8.31173829377806</v>
      </c>
      <c r="P7" s="25" t="n">
        <f aca="false">SKU_Master!G4</f>
        <v>1205</v>
      </c>
      <c r="Q7" s="37" t="str">
        <f aca="false">IF(P7&lt;=M7,"REORDER NOW","OK")</f>
        <v>OK</v>
      </c>
      <c r="R7" s="33" t="n">
        <f aca="false">IF(P7&lt;=M7,M7+N7-P7,0)</f>
        <v>0</v>
      </c>
      <c r="S7" s="38" t="n">
        <f aca="false">E7*D7</f>
        <v>51832</v>
      </c>
      <c r="T7" s="39" t="n">
        <f aca="false">RANK(S7,$S$5:$S$14,0)+COUNTIF($S$5:S7,S7)-1</f>
        <v>6</v>
      </c>
      <c r="U7" s="40" t="str">
        <f aca="false">INDEX(ABC_Analysis!$G$5:$G$14,MATCH(A7,ABC_Analysis!$B$5:$B$14,0))</f>
        <v>B</v>
      </c>
    </row>
    <row r="8" customFormat="false" ht="15" hidden="false" customHeight="false" outlineLevel="0" collapsed="false">
      <c r="A8" s="31" t="str">
        <f aca="false">SKU_Master!A5</f>
        <v>SKU04</v>
      </c>
      <c r="B8" s="31" t="str">
        <f aca="false">SKU_Master!B5</f>
        <v>Power Bank 10000mAh</v>
      </c>
      <c r="C8" s="31" t="str">
        <f aca="false">SKU_Master!C5</f>
        <v>Power</v>
      </c>
      <c r="D8" s="32" t="n">
        <f aca="false">SKU_Master!D5</f>
        <v>12</v>
      </c>
      <c r="E8" s="33" t="n">
        <f aca="false">SUM(Demand_History!E14:E25)</f>
        <v>7075</v>
      </c>
      <c r="F8" s="25" t="n">
        <f aca="false">Forecast!E26</f>
        <v>514</v>
      </c>
      <c r="G8" s="34" t="n">
        <f aca="false">Forecast!E29</f>
        <v>105.564819977733</v>
      </c>
      <c r="H8" s="35" t="n">
        <f aca="false">E8/Assumptions!$B$10</f>
        <v>19.3835616438356</v>
      </c>
      <c r="I8" s="35" t="n">
        <f aca="false">G8/SQRT(Assumptions!$B$9)</f>
        <v>19.2734110602588</v>
      </c>
      <c r="J8" s="31" t="n">
        <f aca="false">SKU_Master!E5</f>
        <v>21</v>
      </c>
      <c r="K8" s="31" t="n">
        <f aca="false">SKU_Master!F5</f>
        <v>4</v>
      </c>
      <c r="L8" s="33" t="n">
        <f aca="false">ROUNDUP(Assumptions!$B$6*SQRT(J8*I8^2+H8^2*K8^2),0)</f>
        <v>194</v>
      </c>
      <c r="M8" s="33" t="n">
        <f aca="false">ROUNDUP(H8*J8+L8,0)</f>
        <v>602</v>
      </c>
      <c r="N8" s="33" t="n">
        <f aca="false">ROUND(SQRT(2*E8*Assumptions!$B$7/(Assumptions!$B$8*D8)),0)</f>
        <v>665</v>
      </c>
      <c r="O8" s="36" t="n">
        <f aca="false">E8/N8</f>
        <v>10.6390977443609</v>
      </c>
      <c r="P8" s="25" t="n">
        <f aca="false">SKU_Master!G5</f>
        <v>813</v>
      </c>
      <c r="Q8" s="37" t="str">
        <f aca="false">IF(P8&lt;=M8,"REORDER NOW","OK")</f>
        <v>OK</v>
      </c>
      <c r="R8" s="33" t="n">
        <f aca="false">IF(P8&lt;=M8,M8+N8-P8,0)</f>
        <v>0</v>
      </c>
      <c r="S8" s="38" t="n">
        <f aca="false">E8*D8</f>
        <v>84900</v>
      </c>
      <c r="T8" s="39" t="n">
        <f aca="false">RANK(S8,$S$5:$S$14,0)+COUNTIF($S$5:S8,S8)-1</f>
        <v>5</v>
      </c>
      <c r="U8" s="40" t="str">
        <f aca="false">INDEX(ABC_Analysis!$G$5:$G$14,MATCH(A8,ABC_Analysis!$B$5:$B$14,0))</f>
        <v>A</v>
      </c>
    </row>
    <row r="9" customFormat="false" ht="15" hidden="false" customHeight="false" outlineLevel="0" collapsed="false">
      <c r="A9" s="31" t="str">
        <f aca="false">SKU_Master!A6</f>
        <v>SKU05</v>
      </c>
      <c r="B9" s="31" t="str">
        <f aca="false">SKU_Master!B6</f>
        <v>Bluetooth Speaker</v>
      </c>
      <c r="C9" s="31" t="str">
        <f aca="false">SKU_Master!C6</f>
        <v>Audio</v>
      </c>
      <c r="D9" s="32" t="n">
        <f aca="false">SKU_Master!D6</f>
        <v>25</v>
      </c>
      <c r="E9" s="33" t="n">
        <f aca="false">SUM(Demand_History!F14:F25)</f>
        <v>5830</v>
      </c>
      <c r="F9" s="25" t="n">
        <f aca="false">Forecast!F26</f>
        <v>543.333333333333</v>
      </c>
      <c r="G9" s="34" t="n">
        <f aca="false">Forecast!F29</f>
        <v>114.499509021382</v>
      </c>
      <c r="H9" s="35" t="n">
        <f aca="false">E9/Assumptions!$B$10</f>
        <v>15.972602739726</v>
      </c>
      <c r="I9" s="35" t="n">
        <f aca="false">G9/SQRT(Assumptions!$B$9)</f>
        <v>20.9046546380924</v>
      </c>
      <c r="J9" s="31" t="n">
        <f aca="false">SKU_Master!E6</f>
        <v>35</v>
      </c>
      <c r="K9" s="31" t="n">
        <f aca="false">SKU_Master!F6</f>
        <v>6</v>
      </c>
      <c r="L9" s="33" t="n">
        <f aca="false">ROUNDUP(Assumptions!$B$6*SQRT(J9*I9^2+H9^2*K9^2),0)</f>
        <v>258</v>
      </c>
      <c r="M9" s="33" t="n">
        <f aca="false">ROUNDUP(H9*J9+L9,0)</f>
        <v>818</v>
      </c>
      <c r="N9" s="33" t="n">
        <f aca="false">ROUND(SQRT(2*E9*Assumptions!$B$7/(Assumptions!$B$8*D9)),0)</f>
        <v>418</v>
      </c>
      <c r="O9" s="36" t="n">
        <f aca="false">E9/N9</f>
        <v>13.9473684210526</v>
      </c>
      <c r="P9" s="25" t="n">
        <f aca="false">SKU_Master!G6</f>
        <v>773</v>
      </c>
      <c r="Q9" s="37" t="str">
        <f aca="false">IF(P9&lt;=M9,"REORDER NOW","OK")</f>
        <v>REORDER NOW</v>
      </c>
      <c r="R9" s="33" t="n">
        <f aca="false">IF(P9&lt;=M9,M9+N9-P9,0)</f>
        <v>463</v>
      </c>
      <c r="S9" s="38" t="n">
        <f aca="false">E9*D9</f>
        <v>145750</v>
      </c>
      <c r="T9" s="39" t="n">
        <f aca="false">RANK(S9,$S$5:$S$14,0)+COUNTIF($S$5:S9,S9)-1</f>
        <v>3</v>
      </c>
      <c r="U9" s="40" t="str">
        <f aca="false">INDEX(ABC_Analysis!$G$5:$G$14,MATCH(A9,ABC_Analysis!$B$5:$B$14,0))</f>
        <v>A</v>
      </c>
    </row>
    <row r="10" customFormat="false" ht="15" hidden="false" customHeight="false" outlineLevel="0" collapsed="false">
      <c r="A10" s="31" t="str">
        <f aca="false">SKU_Master!A7</f>
        <v>SKU06</v>
      </c>
      <c r="B10" s="31" t="str">
        <f aca="false">SKU_Master!B7</f>
        <v>Smartwatch</v>
      </c>
      <c r="C10" s="31" t="str">
        <f aca="false">SKU_Master!C7</f>
        <v>Wearables</v>
      </c>
      <c r="D10" s="32" t="n">
        <f aca="false">SKU_Master!D7</f>
        <v>55</v>
      </c>
      <c r="E10" s="33" t="n">
        <f aca="false">SUM(Demand_History!G14:G25)</f>
        <v>5283</v>
      </c>
      <c r="F10" s="25" t="n">
        <f aca="false">Forecast!G26</f>
        <v>346</v>
      </c>
      <c r="G10" s="34" t="n">
        <f aca="false">Forecast!G29</f>
        <v>135.864155622698</v>
      </c>
      <c r="H10" s="35" t="n">
        <f aca="false">E10/Assumptions!$B$10</f>
        <v>14.4739726027397</v>
      </c>
      <c r="I10" s="35" t="n">
        <f aca="false">G10/SQRT(Assumptions!$B$9)</f>
        <v>24.8052875969814</v>
      </c>
      <c r="J10" s="31" t="n">
        <f aca="false">SKU_Master!E7</f>
        <v>40</v>
      </c>
      <c r="K10" s="31" t="n">
        <f aca="false">SKU_Master!F7</f>
        <v>7</v>
      </c>
      <c r="L10" s="33" t="n">
        <f aca="false">ROUNDUP(Assumptions!$B$6*SQRT(J10*I10^2+H10^2*K10^2),0)</f>
        <v>308</v>
      </c>
      <c r="M10" s="33" t="n">
        <f aca="false">ROUNDUP(H10*J10+L10,0)</f>
        <v>887</v>
      </c>
      <c r="N10" s="33" t="n">
        <f aca="false">ROUND(SQRT(2*E10*Assumptions!$B$7/(Assumptions!$B$8*D10)),0)</f>
        <v>268</v>
      </c>
      <c r="O10" s="36" t="n">
        <f aca="false">E10/N10</f>
        <v>19.7126865671642</v>
      </c>
      <c r="P10" s="25" t="n">
        <f aca="false">SKU_Master!G7</f>
        <v>638</v>
      </c>
      <c r="Q10" s="37" t="str">
        <f aca="false">IF(P10&lt;=M10,"REORDER NOW","OK")</f>
        <v>REORDER NOW</v>
      </c>
      <c r="R10" s="33" t="n">
        <f aca="false">IF(P10&lt;=M10,M10+N10-P10,0)</f>
        <v>517</v>
      </c>
      <c r="S10" s="38" t="n">
        <f aca="false">E10*D10</f>
        <v>290565</v>
      </c>
      <c r="T10" s="39" t="n">
        <f aca="false">RANK(S10,$S$5:$S$14,0)+COUNTIF($S$5:S10,S10)-1</f>
        <v>1</v>
      </c>
      <c r="U10" s="40" t="str">
        <f aca="false">INDEX(ABC_Analysis!$G$5:$G$14,MATCH(A10,ABC_Analysis!$B$5:$B$14,0))</f>
        <v>A</v>
      </c>
    </row>
    <row r="11" customFormat="false" ht="15" hidden="false" customHeight="false" outlineLevel="0" collapsed="false">
      <c r="A11" s="31" t="str">
        <f aca="false">SKU_Master!A8</f>
        <v>SKU07</v>
      </c>
      <c r="B11" s="31" t="str">
        <f aca="false">SKU_Master!B8</f>
        <v>Laptop Stand</v>
      </c>
      <c r="C11" s="31" t="str">
        <f aca="false">SKU_Master!C8</f>
        <v>Accessories</v>
      </c>
      <c r="D11" s="32" t="n">
        <f aca="false">SKU_Master!D8</f>
        <v>5</v>
      </c>
      <c r="E11" s="33" t="n">
        <f aca="false">SUM(Demand_History!H14:H25)</f>
        <v>3739</v>
      </c>
      <c r="F11" s="25" t="n">
        <f aca="false">Forecast!H26</f>
        <v>317.666666666667</v>
      </c>
      <c r="G11" s="34" t="n">
        <f aca="false">Forecast!H29</f>
        <v>66.1539010515527</v>
      </c>
      <c r="H11" s="35" t="n">
        <f aca="false">E11/Assumptions!$B$10</f>
        <v>10.2438356164384</v>
      </c>
      <c r="I11" s="35" t="n">
        <f aca="false">G11/SQRT(Assumptions!$B$9)</f>
        <v>12.0779946243</v>
      </c>
      <c r="J11" s="31" t="n">
        <f aca="false">SKU_Master!E8</f>
        <v>18</v>
      </c>
      <c r="K11" s="31" t="n">
        <f aca="false">SKU_Master!F8</f>
        <v>2</v>
      </c>
      <c r="L11" s="33" t="n">
        <f aca="false">ROUNDUP(Assumptions!$B$6*SQRT(J11*I11^2+H11^2*K11^2),0)</f>
        <v>91</v>
      </c>
      <c r="M11" s="33" t="n">
        <f aca="false">ROUNDUP(H11*J11+L11,0)</f>
        <v>276</v>
      </c>
      <c r="N11" s="33" t="n">
        <f aca="false">ROUND(SQRT(2*E11*Assumptions!$B$7/(Assumptions!$B$8*D11)),0)</f>
        <v>749</v>
      </c>
      <c r="O11" s="36" t="n">
        <f aca="false">E11/N11</f>
        <v>4.99198931909212</v>
      </c>
      <c r="P11" s="25" t="n">
        <f aca="false">SKU_Master!G8</f>
        <v>191</v>
      </c>
      <c r="Q11" s="37" t="str">
        <f aca="false">IF(P11&lt;=M11,"REORDER NOW","OK")</f>
        <v>REORDER NOW</v>
      </c>
      <c r="R11" s="33" t="n">
        <f aca="false">IF(P11&lt;=M11,M11+N11-P11,0)</f>
        <v>834</v>
      </c>
      <c r="S11" s="38" t="n">
        <f aca="false">E11*D11</f>
        <v>18695</v>
      </c>
      <c r="T11" s="39" t="n">
        <f aca="false">RANK(S11,$S$5:$S$14,0)+COUNTIF($S$5:S11,S11)-1</f>
        <v>10</v>
      </c>
      <c r="U11" s="40" t="str">
        <f aca="false">INDEX(ABC_Analysis!$G$5:$G$14,MATCH(A11,ABC_Analysis!$B$5:$B$14,0))</f>
        <v>C</v>
      </c>
    </row>
    <row r="12" customFormat="false" ht="15" hidden="false" customHeight="false" outlineLevel="0" collapsed="false">
      <c r="A12" s="31" t="str">
        <f aca="false">SKU_Master!A9</f>
        <v>SKU08</v>
      </c>
      <c r="B12" s="31" t="str">
        <f aca="false">SKU_Master!B9</f>
        <v>HD Webcam</v>
      </c>
      <c r="C12" s="31" t="str">
        <f aca="false">SKU_Master!C9</f>
        <v>Computing</v>
      </c>
      <c r="D12" s="32" t="n">
        <f aca="false">SKU_Master!D9</f>
        <v>12</v>
      </c>
      <c r="E12" s="33" t="n">
        <f aca="false">SUM(Demand_History!I14:I25)</f>
        <v>1897</v>
      </c>
      <c r="F12" s="25" t="n">
        <f aca="false">Forecast!I26</f>
        <v>176</v>
      </c>
      <c r="G12" s="34" t="n">
        <f aca="false">Forecast!I29</f>
        <v>32.4370778764676</v>
      </c>
      <c r="H12" s="35" t="n">
        <f aca="false">E12/Assumptions!$B$10</f>
        <v>5.1972602739726</v>
      </c>
      <c r="I12" s="35" t="n">
        <f aca="false">G12/SQRT(Assumptions!$B$9)</f>
        <v>5.92217308416435</v>
      </c>
      <c r="J12" s="31" t="n">
        <f aca="false">SKU_Master!E9</f>
        <v>28</v>
      </c>
      <c r="K12" s="31" t="n">
        <f aca="false">SKU_Master!F9</f>
        <v>4</v>
      </c>
      <c r="L12" s="33" t="n">
        <f aca="false">ROUNDUP(Assumptions!$B$6*SQRT(J12*I12^2+H12^2*K12^2),0)</f>
        <v>62</v>
      </c>
      <c r="M12" s="33" t="n">
        <f aca="false">ROUNDUP(H12*J12+L12,0)</f>
        <v>208</v>
      </c>
      <c r="N12" s="33" t="n">
        <f aca="false">ROUND(SQRT(2*E12*Assumptions!$B$7/(Assumptions!$B$8*D12)),0)</f>
        <v>344</v>
      </c>
      <c r="O12" s="36" t="n">
        <f aca="false">E12/N12</f>
        <v>5.51453488372093</v>
      </c>
      <c r="P12" s="25" t="n">
        <f aca="false">SKU_Master!G9</f>
        <v>252</v>
      </c>
      <c r="Q12" s="37" t="str">
        <f aca="false">IF(P12&lt;=M12,"REORDER NOW","OK")</f>
        <v>OK</v>
      </c>
      <c r="R12" s="33" t="n">
        <f aca="false">IF(P12&lt;=M12,M12+N12-P12,0)</f>
        <v>0</v>
      </c>
      <c r="S12" s="38" t="n">
        <f aca="false">E12*D12</f>
        <v>22764</v>
      </c>
      <c r="T12" s="39" t="n">
        <f aca="false">RANK(S12,$S$5:$S$14,0)+COUNTIF($S$5:S12,S12)-1</f>
        <v>9</v>
      </c>
      <c r="U12" s="40" t="str">
        <f aca="false">INDEX(ABC_Analysis!$G$5:$G$14,MATCH(A12,ABC_Analysis!$B$5:$B$14,0))</f>
        <v>C</v>
      </c>
    </row>
    <row r="13" customFormat="false" ht="15" hidden="false" customHeight="false" outlineLevel="0" collapsed="false">
      <c r="A13" s="31" t="str">
        <f aca="false">SKU_Master!A10</f>
        <v>SKU09</v>
      </c>
      <c r="B13" s="31" t="str">
        <f aca="false">SKU_Master!B10</f>
        <v>Mechanical Keyboard</v>
      </c>
      <c r="C13" s="31" t="str">
        <f aca="false">SKU_Master!C10</f>
        <v>Computing</v>
      </c>
      <c r="D13" s="32" t="n">
        <f aca="false">SKU_Master!D10</f>
        <v>22</v>
      </c>
      <c r="E13" s="33" t="n">
        <f aca="false">SUM(Demand_History!J14:J25)</f>
        <v>4093</v>
      </c>
      <c r="F13" s="25" t="n">
        <f aca="false">Forecast!J26</f>
        <v>379</v>
      </c>
      <c r="G13" s="34" t="n">
        <f aca="false">Forecast!J29</f>
        <v>77.9545723092324</v>
      </c>
      <c r="H13" s="35" t="n">
        <f aca="false">E13/Assumptions!$B$10</f>
        <v>11.213698630137</v>
      </c>
      <c r="I13" s="35" t="n">
        <f aca="false">G13/SQRT(Assumptions!$B$9)</f>
        <v>14.2324925714781</v>
      </c>
      <c r="J13" s="31" t="n">
        <f aca="false">SKU_Master!E10</f>
        <v>30</v>
      </c>
      <c r="K13" s="31" t="n">
        <f aca="false">SKU_Master!F10</f>
        <v>5</v>
      </c>
      <c r="L13" s="33" t="n">
        <f aca="false">ROUNDUP(Assumptions!$B$6*SQRT(J13*I13^2+H13^2*K13^2),0)</f>
        <v>158</v>
      </c>
      <c r="M13" s="33" t="n">
        <f aca="false">ROUNDUP(H13*J13+L13,0)</f>
        <v>495</v>
      </c>
      <c r="N13" s="33" t="n">
        <f aca="false">ROUND(SQRT(2*E13*Assumptions!$B$7/(Assumptions!$B$8*D13)),0)</f>
        <v>374</v>
      </c>
      <c r="O13" s="36" t="n">
        <f aca="false">E13/N13</f>
        <v>10.9438502673797</v>
      </c>
      <c r="P13" s="25" t="n">
        <f aca="false">SKU_Master!G10</f>
        <v>635</v>
      </c>
      <c r="Q13" s="37" t="str">
        <f aca="false">IF(P13&lt;=M13,"REORDER NOW","OK")</f>
        <v>OK</v>
      </c>
      <c r="R13" s="33" t="n">
        <f aca="false">IF(P13&lt;=M13,M13+N13-P13,0)</f>
        <v>0</v>
      </c>
      <c r="S13" s="38" t="n">
        <f aca="false">E13*D13</f>
        <v>90046</v>
      </c>
      <c r="T13" s="39" t="n">
        <f aca="false">RANK(S13,$S$5:$S$14,0)+COUNTIF($S$5:S13,S13)-1</f>
        <v>4</v>
      </c>
      <c r="U13" s="40" t="str">
        <f aca="false">INDEX(ABC_Analysis!$G$5:$G$14,MATCH(A13,ABC_Analysis!$B$5:$B$14,0))</f>
        <v>A</v>
      </c>
    </row>
    <row r="14" customFormat="false" ht="15" hidden="false" customHeight="false" outlineLevel="0" collapsed="false">
      <c r="A14" s="31" t="str">
        <f aca="false">SKU_Master!A11</f>
        <v>SKU10</v>
      </c>
      <c r="B14" s="31" t="str">
        <f aca="false">SKU_Master!B11</f>
        <v>Wireless Mouse</v>
      </c>
      <c r="C14" s="31" t="str">
        <f aca="false">SKU_Master!C11</f>
        <v>Computing</v>
      </c>
      <c r="D14" s="32" t="n">
        <f aca="false">SKU_Master!D11</f>
        <v>5</v>
      </c>
      <c r="E14" s="33" t="n">
        <f aca="false">SUM(Demand_History!K14:K25)</f>
        <v>8087</v>
      </c>
      <c r="F14" s="25" t="n">
        <f aca="false">Forecast!K26</f>
        <v>681</v>
      </c>
      <c r="G14" s="34" t="n">
        <f aca="false">Forecast!K29</f>
        <v>143.257048729136</v>
      </c>
      <c r="H14" s="35" t="n">
        <f aca="false">E14/Assumptions!$B$10</f>
        <v>22.1561643835616</v>
      </c>
      <c r="I14" s="35" t="n">
        <f aca="false">G14/SQRT(Assumptions!$B$9)</f>
        <v>26.1550390368548</v>
      </c>
      <c r="J14" s="31" t="n">
        <f aca="false">SKU_Master!E11</f>
        <v>20</v>
      </c>
      <c r="K14" s="31" t="n">
        <f aca="false">SKU_Master!F11</f>
        <v>3</v>
      </c>
      <c r="L14" s="33" t="n">
        <f aca="false">ROUNDUP(Assumptions!$B$6*SQRT(J14*I14^2+H14^2*K14^2),0)</f>
        <v>222</v>
      </c>
      <c r="M14" s="33" t="n">
        <f aca="false">ROUNDUP(H14*J14+L14,0)</f>
        <v>666</v>
      </c>
      <c r="N14" s="33" t="n">
        <f aca="false">ROUND(SQRT(2*E14*Assumptions!$B$7/(Assumptions!$B$8*D14)),0)</f>
        <v>1101</v>
      </c>
      <c r="O14" s="36" t="n">
        <f aca="false">E14/N14</f>
        <v>7.34514078110808</v>
      </c>
      <c r="P14" s="25" t="n">
        <f aca="false">SKU_Master!G11</f>
        <v>391</v>
      </c>
      <c r="Q14" s="37" t="str">
        <f aca="false">IF(P14&lt;=M14,"REORDER NOW","OK")</f>
        <v>REORDER NOW</v>
      </c>
      <c r="R14" s="33" t="n">
        <f aca="false">IF(P14&lt;=M14,M14+N14-P14,0)</f>
        <v>1376</v>
      </c>
      <c r="S14" s="38" t="n">
        <f aca="false">E14*D14</f>
        <v>40435</v>
      </c>
      <c r="T14" s="39" t="n">
        <f aca="false">RANK(S14,$S$5:$S$14,0)+COUNTIF($S$5:S14,S14)-1</f>
        <v>7</v>
      </c>
      <c r="U14" s="40" t="str">
        <f aca="false">INDEX(ABC_Analysis!$G$5:$G$14,MATCH(A14,ABC_Analysis!$B$5:$B$14,0))</f>
        <v>B</v>
      </c>
    </row>
    <row r="15" customFormat="false" ht="15" hidden="false" customHeight="false" outlineLevel="0" collapsed="false">
      <c r="A15" s="41" t="s">
        <v>73</v>
      </c>
      <c r="B15" s="42"/>
      <c r="C15" s="42"/>
      <c r="D15" s="42"/>
      <c r="E15" s="27" t="n">
        <f aca="false">SUM(E5:E14)</f>
        <v>86643</v>
      </c>
      <c r="F15" s="42"/>
      <c r="G15" s="42"/>
      <c r="H15" s="42"/>
      <c r="I15" s="42"/>
      <c r="J15" s="42"/>
      <c r="K15" s="42"/>
      <c r="L15" s="27" t="n">
        <f aca="false">SUM(L5:L14)</f>
        <v>2549</v>
      </c>
      <c r="M15" s="27" t="n">
        <f aca="false">SUM(M5:M14)</f>
        <v>7860</v>
      </c>
      <c r="N15" s="42"/>
      <c r="O15" s="42"/>
      <c r="P15" s="27" t="n">
        <f aca="false">SUM(P5:P14)</f>
        <v>7360</v>
      </c>
      <c r="Q15" s="42"/>
      <c r="R15" s="27" t="n">
        <f aca="false">SUM(R5:R14)</f>
        <v>8340</v>
      </c>
      <c r="S15" s="43" t="n">
        <f aca="false">SUM(S5:S14)</f>
        <v>966301.8</v>
      </c>
      <c r="T15" s="42"/>
      <c r="U15" s="42"/>
    </row>
    <row r="17" customFormat="false" ht="15" hidden="false" customHeight="false" outlineLevel="0" collapsed="false">
      <c r="A17" s="2" t="s">
        <v>98</v>
      </c>
    </row>
  </sheetData>
  <conditionalFormatting sqref="Q5:Q14">
    <cfRule type="cellIs" priority="2" operator="equal" aboveAverage="0" equalAverage="0" bottom="0" percent="0" rank="0" text="" dxfId="0">
      <formula>"REORDER NOW"</formula>
    </cfRule>
    <cfRule type="cellIs" priority="3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9" t="s">
        <v>99</v>
      </c>
    </row>
    <row r="2" customFormat="false" ht="15" hidden="false" customHeight="false" outlineLevel="0" collapsed="false">
      <c r="A2" s="2" t="s">
        <v>100</v>
      </c>
    </row>
    <row r="4" customFormat="false" ht="31.5" hidden="false" customHeight="true" outlineLevel="0" collapsed="false">
      <c r="A4" s="10" t="s">
        <v>101</v>
      </c>
      <c r="B4" s="10" t="s">
        <v>83</v>
      </c>
      <c r="C4" s="10" t="s">
        <v>40</v>
      </c>
      <c r="D4" s="10" t="s">
        <v>102</v>
      </c>
      <c r="E4" s="10" t="s">
        <v>103</v>
      </c>
      <c r="F4" s="10" t="s">
        <v>104</v>
      </c>
      <c r="G4" s="10" t="s">
        <v>105</v>
      </c>
    </row>
    <row r="5" customFormat="false" ht="15" hidden="false" customHeight="false" outlineLevel="0" collapsed="false">
      <c r="A5" s="39" t="n">
        <v>1</v>
      </c>
      <c r="B5" s="31" t="str">
        <f aca="false">INDEX(Inventory_Policy!$A$5:$A$14,MATCH(A5,Inventory_Policy!$T$5:$T$14,0))</f>
        <v>SKU06</v>
      </c>
      <c r="C5" s="31" t="str">
        <f aca="false">INDEX(Inventory_Policy!$B$5:$B$14,MATCH(A5,Inventory_Policy!$T$5:$T$14,0))</f>
        <v>Smartwatch</v>
      </c>
      <c r="D5" s="44" t="n">
        <f aca="false">INDEX(Inventory_Policy!$S$5:$S$14,MATCH(A5,Inventory_Policy!$T$5:$T$14,0))</f>
        <v>290565</v>
      </c>
      <c r="E5" s="45" t="n">
        <f aca="false">D5/SUM($D$5:$D$14)</f>
        <v>0.300697980692989</v>
      </c>
      <c r="F5" s="45" t="n">
        <f aca="false">SUM($E$5:E5)</f>
        <v>0.300697980692989</v>
      </c>
      <c r="G5" s="37" t="str">
        <f aca="false">IF(F5-E5&lt;0.8,"A",IF(F5-E5&lt;0.95,"B","C"))</f>
        <v>A</v>
      </c>
    </row>
    <row r="6" customFormat="false" ht="15" hidden="false" customHeight="false" outlineLevel="0" collapsed="false">
      <c r="A6" s="39" t="n">
        <v>2</v>
      </c>
      <c r="B6" s="31" t="str">
        <f aca="false">INDEX(Inventory_Policy!$A$5:$A$14,MATCH(A6,Inventory_Policy!$T$5:$T$14,0))</f>
        <v>SKU02</v>
      </c>
      <c r="C6" s="31" t="str">
        <f aca="false">INDEX(Inventory_Policy!$B$5:$B$14,MATCH(A6,Inventory_Policy!$T$5:$T$14,0))</f>
        <v>Wireless Earbuds</v>
      </c>
      <c r="D6" s="44" t="n">
        <f aca="false">INDEX(Inventory_Policy!$S$5:$S$14,MATCH(A6,Inventory_Policy!$T$5:$T$14,0))</f>
        <v>188676</v>
      </c>
      <c r="E6" s="45" t="n">
        <f aca="false">D6/SUM($D$5:$D$14)</f>
        <v>0.19525576791847</v>
      </c>
      <c r="F6" s="45" t="n">
        <f aca="false">SUM($E$5:E6)</f>
        <v>0.495953748611459</v>
      </c>
      <c r="G6" s="37" t="str">
        <f aca="false">IF(F6-E6&lt;0.8,"A",IF(F6-E6&lt;0.95,"B","C"))</f>
        <v>A</v>
      </c>
    </row>
    <row r="7" customFormat="false" ht="15" hidden="false" customHeight="false" outlineLevel="0" collapsed="false">
      <c r="A7" s="39" t="n">
        <v>3</v>
      </c>
      <c r="B7" s="31" t="str">
        <f aca="false">INDEX(Inventory_Policy!$A$5:$A$14,MATCH(A7,Inventory_Policy!$T$5:$T$14,0))</f>
        <v>SKU05</v>
      </c>
      <c r="C7" s="31" t="str">
        <f aca="false">INDEX(Inventory_Policy!$B$5:$B$14,MATCH(A7,Inventory_Policy!$T$5:$T$14,0))</f>
        <v>Bluetooth Speaker</v>
      </c>
      <c r="D7" s="44" t="n">
        <f aca="false">INDEX(Inventory_Policy!$S$5:$S$14,MATCH(A7,Inventory_Policy!$T$5:$T$14,0))</f>
        <v>145750</v>
      </c>
      <c r="E7" s="45" t="n">
        <f aca="false">D7/SUM($D$5:$D$14)</f>
        <v>0.150832793646871</v>
      </c>
      <c r="F7" s="45" t="n">
        <f aca="false">SUM($E$5:E7)</f>
        <v>0.64678654225833</v>
      </c>
      <c r="G7" s="37" t="str">
        <f aca="false">IF(F7-E7&lt;0.8,"A",IF(F7-E7&lt;0.95,"B","C"))</f>
        <v>A</v>
      </c>
    </row>
    <row r="8" customFormat="false" ht="15" hidden="false" customHeight="false" outlineLevel="0" collapsed="false">
      <c r="A8" s="39" t="n">
        <v>4</v>
      </c>
      <c r="B8" s="31" t="str">
        <f aca="false">INDEX(Inventory_Policy!$A$5:$A$14,MATCH(A8,Inventory_Policy!$T$5:$T$14,0))</f>
        <v>SKU09</v>
      </c>
      <c r="C8" s="31" t="str">
        <f aca="false">INDEX(Inventory_Policy!$B$5:$B$14,MATCH(A8,Inventory_Policy!$T$5:$T$14,0))</f>
        <v>Mechanical Keyboard</v>
      </c>
      <c r="D8" s="44" t="n">
        <f aca="false">INDEX(Inventory_Policy!$S$5:$S$14,MATCH(A8,Inventory_Policy!$T$5:$T$14,0))</f>
        <v>90046</v>
      </c>
      <c r="E8" s="45" t="n">
        <f aca="false">D8/SUM($D$5:$D$14)</f>
        <v>0.093186207456097</v>
      </c>
      <c r="F8" s="45" t="n">
        <f aca="false">SUM($E$5:E8)</f>
        <v>0.739972749714427</v>
      </c>
      <c r="G8" s="37" t="str">
        <f aca="false">IF(F8-E8&lt;0.8,"A",IF(F8-E8&lt;0.95,"B","C"))</f>
        <v>A</v>
      </c>
    </row>
    <row r="9" customFormat="false" ht="15" hidden="false" customHeight="false" outlineLevel="0" collapsed="false">
      <c r="A9" s="39" t="n">
        <v>5</v>
      </c>
      <c r="B9" s="31" t="str">
        <f aca="false">INDEX(Inventory_Policy!$A$5:$A$14,MATCH(A9,Inventory_Policy!$T$5:$T$14,0))</f>
        <v>SKU04</v>
      </c>
      <c r="C9" s="31" t="str">
        <f aca="false">INDEX(Inventory_Policy!$B$5:$B$14,MATCH(A9,Inventory_Policy!$T$5:$T$14,0))</f>
        <v>Power Bank 10000mAh</v>
      </c>
      <c r="D9" s="44" t="n">
        <f aca="false">INDEX(Inventory_Policy!$S$5:$S$14,MATCH(A9,Inventory_Policy!$T$5:$T$14,0))</f>
        <v>84900</v>
      </c>
      <c r="E9" s="45" t="n">
        <f aca="false">D9/SUM($D$5:$D$14)</f>
        <v>0.0878607490951585</v>
      </c>
      <c r="F9" s="45" t="n">
        <f aca="false">SUM($E$5:E9)</f>
        <v>0.827833498809585</v>
      </c>
      <c r="G9" s="37" t="str">
        <f aca="false">IF(F9-E9&lt;0.8,"A",IF(F9-E9&lt;0.95,"B","C"))</f>
        <v>A</v>
      </c>
    </row>
    <row r="10" customFormat="false" ht="15" hidden="false" customHeight="false" outlineLevel="0" collapsed="false">
      <c r="A10" s="39" t="n">
        <v>6</v>
      </c>
      <c r="B10" s="31" t="str">
        <f aca="false">INDEX(Inventory_Policy!$A$5:$A$14,MATCH(A10,Inventory_Policy!$T$5:$T$14,0))</f>
        <v>SKU03</v>
      </c>
      <c r="C10" s="31" t="str">
        <f aca="false">INDEX(Inventory_Policy!$B$5:$B$14,MATCH(A10,Inventory_Policy!$T$5:$T$14,0))</f>
        <v>Phone Charger 20W</v>
      </c>
      <c r="D10" s="44" t="n">
        <f aca="false">INDEX(Inventory_Policy!$S$5:$S$14,MATCH(A10,Inventory_Policy!$T$5:$T$14,0))</f>
        <v>51832</v>
      </c>
      <c r="E10" s="45" t="n">
        <f aca="false">D10/SUM($D$5:$D$14)</f>
        <v>0.0536395565029476</v>
      </c>
      <c r="F10" s="45" t="n">
        <f aca="false">SUM($E$5:E10)</f>
        <v>0.881473055312533</v>
      </c>
      <c r="G10" s="37" t="str">
        <f aca="false">IF(F10-E10&lt;0.8,"A",IF(F10-E10&lt;0.95,"B","C"))</f>
        <v>B</v>
      </c>
    </row>
    <row r="11" customFormat="false" ht="15" hidden="false" customHeight="false" outlineLevel="0" collapsed="false">
      <c r="A11" s="39" t="n">
        <v>7</v>
      </c>
      <c r="B11" s="31" t="str">
        <f aca="false">INDEX(Inventory_Policy!$A$5:$A$14,MATCH(A11,Inventory_Policy!$T$5:$T$14,0))</f>
        <v>SKU10</v>
      </c>
      <c r="C11" s="31" t="str">
        <f aca="false">INDEX(Inventory_Policy!$B$5:$B$14,MATCH(A11,Inventory_Policy!$T$5:$T$14,0))</f>
        <v>Wireless Mouse</v>
      </c>
      <c r="D11" s="44" t="n">
        <f aca="false">INDEX(Inventory_Policy!$S$5:$S$14,MATCH(A11,Inventory_Policy!$T$5:$T$14,0))</f>
        <v>40435</v>
      </c>
      <c r="E11" s="45" t="n">
        <f aca="false">D11/SUM($D$5:$D$14)</f>
        <v>0.0418451047074527</v>
      </c>
      <c r="F11" s="45" t="n">
        <f aca="false">SUM($E$5:E11)</f>
        <v>0.923318160019986</v>
      </c>
      <c r="G11" s="37" t="str">
        <f aca="false">IF(F11-E11&lt;0.8,"A",IF(F11-E11&lt;0.95,"B","C"))</f>
        <v>B</v>
      </c>
    </row>
    <row r="12" customFormat="false" ht="15" hidden="false" customHeight="false" outlineLevel="0" collapsed="false">
      <c r="A12" s="39" t="n">
        <v>8</v>
      </c>
      <c r="B12" s="31" t="str">
        <f aca="false">INDEX(Inventory_Policy!$A$5:$A$14,MATCH(A12,Inventory_Policy!$T$5:$T$14,0))</f>
        <v>SKU01</v>
      </c>
      <c r="C12" s="31" t="str">
        <f aca="false">INDEX(Inventory_Policy!$B$5:$B$14,MATCH(A12,Inventory_Policy!$T$5:$T$14,0))</f>
        <v>USB-C Cable 1m</v>
      </c>
      <c r="D12" s="44" t="n">
        <f aca="false">INDEX(Inventory_Policy!$S$5:$S$14,MATCH(A12,Inventory_Policy!$T$5:$T$14,0))</f>
        <v>32638.8</v>
      </c>
      <c r="E12" s="45" t="n">
        <f aca="false">D12/SUM($D$5:$D$14)</f>
        <v>0.033777024941897</v>
      </c>
      <c r="F12" s="45" t="n">
        <f aca="false">SUM($E$5:E12)</f>
        <v>0.957095184961883</v>
      </c>
      <c r="G12" s="37" t="str">
        <f aca="false">IF(F12-E12&lt;0.8,"A",IF(F12-E12&lt;0.95,"B","C"))</f>
        <v>B</v>
      </c>
    </row>
    <row r="13" customFormat="false" ht="15" hidden="false" customHeight="false" outlineLevel="0" collapsed="false">
      <c r="A13" s="39" t="n">
        <v>9</v>
      </c>
      <c r="B13" s="31" t="str">
        <f aca="false">INDEX(Inventory_Policy!$A$5:$A$14,MATCH(A13,Inventory_Policy!$T$5:$T$14,0))</f>
        <v>SKU08</v>
      </c>
      <c r="C13" s="31" t="str">
        <f aca="false">INDEX(Inventory_Policy!$B$5:$B$14,MATCH(A13,Inventory_Policy!$T$5:$T$14,0))</f>
        <v>HD Webcam</v>
      </c>
      <c r="D13" s="44" t="n">
        <f aca="false">INDEX(Inventory_Policy!$S$5:$S$14,MATCH(A13,Inventory_Policy!$T$5:$T$14,0))</f>
        <v>22764</v>
      </c>
      <c r="E13" s="45" t="n">
        <f aca="false">D13/SUM($D$5:$D$14)</f>
        <v>0.0235578573898962</v>
      </c>
      <c r="F13" s="45" t="n">
        <f aca="false">SUM($E$5:E13)</f>
        <v>0.980653042351779</v>
      </c>
      <c r="G13" s="37" t="str">
        <f aca="false">IF(F13-E13&lt;0.8,"A",IF(F13-E13&lt;0.95,"B","C"))</f>
        <v>C</v>
      </c>
    </row>
    <row r="14" customFormat="false" ht="15" hidden="false" customHeight="false" outlineLevel="0" collapsed="false">
      <c r="A14" s="39" t="n">
        <v>10</v>
      </c>
      <c r="B14" s="31" t="str">
        <f aca="false">INDEX(Inventory_Policy!$A$5:$A$14,MATCH(A14,Inventory_Policy!$T$5:$T$14,0))</f>
        <v>SKU07</v>
      </c>
      <c r="C14" s="31" t="str">
        <f aca="false">INDEX(Inventory_Policy!$B$5:$B$14,MATCH(A14,Inventory_Policy!$T$5:$T$14,0))</f>
        <v>Laptop Stand</v>
      </c>
      <c r="D14" s="44" t="n">
        <f aca="false">INDEX(Inventory_Policy!$S$5:$S$14,MATCH(A14,Inventory_Policy!$T$5:$T$14,0))</f>
        <v>18695</v>
      </c>
      <c r="E14" s="45" t="n">
        <f aca="false">D14/SUM($D$5:$D$14)</f>
        <v>0.0193469576482213</v>
      </c>
      <c r="F14" s="45" t="n">
        <f aca="false">SUM($E$5:E14)</f>
        <v>1</v>
      </c>
      <c r="G14" s="37" t="str">
        <f aca="false">IF(F14-E14&lt;0.8,"A",IF(F14-E14&lt;0.95,"B","C"))</f>
        <v>C</v>
      </c>
    </row>
    <row r="17" customFormat="false" ht="15" hidden="false" customHeight="false" outlineLevel="0" collapsed="false">
      <c r="A17" s="16" t="s">
        <v>106</v>
      </c>
    </row>
    <row r="18" customFormat="false" ht="31.5" hidden="false" customHeight="true" outlineLevel="0" collapsed="false">
      <c r="A18" s="10" t="s">
        <v>105</v>
      </c>
      <c r="B18" s="10" t="s">
        <v>107</v>
      </c>
      <c r="C18" s="10" t="s">
        <v>108</v>
      </c>
      <c r="D18" s="10" t="s">
        <v>102</v>
      </c>
      <c r="E18" s="10" t="s">
        <v>109</v>
      </c>
    </row>
    <row r="19" customFormat="false" ht="15" hidden="false" customHeight="false" outlineLevel="0" collapsed="false">
      <c r="A19" s="37" t="s">
        <v>110</v>
      </c>
      <c r="B19" s="18" t="n">
        <f aca="false">COUNTIF($G$5:$G$14,A19)</f>
        <v>5</v>
      </c>
      <c r="C19" s="46" t="n">
        <f aca="false">B19/SUM($B$19:$B$21)</f>
        <v>0.5</v>
      </c>
      <c r="D19" s="38" t="n">
        <f aca="false">SUMIF($G$5:$G$14,A19,$D$5:$D$14)</f>
        <v>799937</v>
      </c>
      <c r="E19" s="45" t="n">
        <f aca="false">D19/SUM($D$19:$D$21)</f>
        <v>0.827833498809585</v>
      </c>
    </row>
    <row r="20" customFormat="false" ht="15" hidden="false" customHeight="false" outlineLevel="0" collapsed="false">
      <c r="A20" s="37" t="s">
        <v>111</v>
      </c>
      <c r="B20" s="18" t="n">
        <f aca="false">COUNTIF($G$5:$G$14,A20)</f>
        <v>3</v>
      </c>
      <c r="C20" s="46" t="n">
        <f aca="false">B20/SUM($B$19:$B$21)</f>
        <v>0.3</v>
      </c>
      <c r="D20" s="38" t="n">
        <f aca="false">SUMIF($G$5:$G$14,A20,$D$5:$D$14)</f>
        <v>124905.8</v>
      </c>
      <c r="E20" s="45" t="n">
        <f aca="false">D20/SUM($D$19:$D$21)</f>
        <v>0.129261686152297</v>
      </c>
    </row>
    <row r="21" customFormat="false" ht="15" hidden="false" customHeight="false" outlineLevel="0" collapsed="false">
      <c r="A21" s="37" t="s">
        <v>112</v>
      </c>
      <c r="B21" s="18" t="n">
        <f aca="false">COUNTIF($G$5:$G$14,A21)</f>
        <v>2</v>
      </c>
      <c r="C21" s="46" t="n">
        <f aca="false">B21/SUM($B$19:$B$21)</f>
        <v>0.2</v>
      </c>
      <c r="D21" s="38" t="n">
        <f aca="false">SUMIF($G$5:$G$14,A21,$D$5:$D$14)</f>
        <v>41459</v>
      </c>
      <c r="E21" s="45" t="n">
        <f aca="false">D21/SUM($D$19:$D$21)</f>
        <v>0.0429048150381175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2026-10-17T10:59:18Z</dcterms:created>
  <dc:creator>openpyxl</dc:creator>
  <dc:description/>
  <dc:language>en-US</dc:language>
  <cp:lastModifiedBy/>
  <dcterms:modified xsi:type="dcterms:W3CDTF">2026-10-17T10:59:20Z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